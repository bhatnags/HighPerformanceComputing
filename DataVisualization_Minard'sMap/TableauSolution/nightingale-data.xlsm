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HPC\7DS4\Assignment_2\VBA\"/>
    </mc:Choice>
  </mc:AlternateContent>
  <bookViews>
    <workbookView xWindow="0" yWindow="0" windowWidth="19200" windowHeight="6945" activeTab="3" xr2:uid="{319695F6-E4B8-4708-BD38-2C938BF23956}"/>
  </bookViews>
  <sheets>
    <sheet name="Sheet1" sheetId="1" r:id="rId1"/>
    <sheet name="Sheet2 (2)" sheetId="4" r:id="rId2"/>
    <sheet name="Sheet2" sheetId="2" r:id="rId3"/>
    <sheet name="Sheet3" sheetId="3" r:id="rId4"/>
  </sheets>
  <definedNames>
    <definedName name="_xlnm._FilterDatabase" localSheetId="0" hidden="1">Sheet1!$A$1:$J$25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" l="1"/>
  <c r="K6" i="3"/>
  <c r="J6" i="3"/>
  <c r="I6" i="3"/>
  <c r="H6" i="3"/>
  <c r="G6" i="3"/>
  <c r="F6" i="3"/>
  <c r="E6" i="3"/>
  <c r="D6" i="3"/>
  <c r="C6" i="3"/>
  <c r="B6" i="3"/>
  <c r="A6" i="3"/>
  <c r="L6" i="2"/>
  <c r="K6" i="2"/>
  <c r="J6" i="2"/>
  <c r="I6" i="2"/>
  <c r="H6" i="2"/>
  <c r="G6" i="2"/>
  <c r="F6" i="2"/>
  <c r="E6" i="2"/>
  <c r="D6" i="2"/>
  <c r="C6" i="2"/>
  <c r="B6" i="2"/>
  <c r="A6" i="2"/>
  <c r="L7" i="3"/>
  <c r="L8" i="3" s="1"/>
  <c r="L9" i="3" s="1"/>
  <c r="K7" i="3"/>
  <c r="K8" i="3" s="1"/>
  <c r="K9" i="3" s="1"/>
  <c r="J7" i="3"/>
  <c r="J8" i="3" s="1"/>
  <c r="J9" i="3" s="1"/>
  <c r="I7" i="3"/>
  <c r="I8" i="3" s="1"/>
  <c r="I9" i="3" s="1"/>
  <c r="H7" i="3"/>
  <c r="H8" i="3" s="1"/>
  <c r="H9" i="3" s="1"/>
  <c r="G7" i="3"/>
  <c r="G8" i="3" s="1"/>
  <c r="G9" i="3" s="1"/>
  <c r="F7" i="3"/>
  <c r="F8" i="3" s="1"/>
  <c r="F9" i="3" s="1"/>
  <c r="E7" i="3"/>
  <c r="E8" i="3" s="1"/>
  <c r="E9" i="3" s="1"/>
  <c r="D7" i="3"/>
  <c r="D8" i="3" s="1"/>
  <c r="D9" i="3" s="1"/>
  <c r="C7" i="3"/>
  <c r="C8" i="3" s="1"/>
  <c r="C9" i="3" s="1"/>
  <c r="B7" i="3"/>
  <c r="B8" i="3" s="1"/>
  <c r="B9" i="3" s="1"/>
  <c r="A7" i="3"/>
  <c r="A8" i="3" s="1"/>
  <c r="A9" i="3" s="1"/>
  <c r="J8" i="2"/>
  <c r="J9" i="2" s="1"/>
  <c r="F8" i="2"/>
  <c r="F9" i="2" s="1"/>
  <c r="B8" i="2"/>
  <c r="B9" i="2" s="1"/>
  <c r="L7" i="2"/>
  <c r="L8" i="2" s="1"/>
  <c r="L9" i="2" s="1"/>
  <c r="K7" i="2"/>
  <c r="K8" i="2" s="1"/>
  <c r="K9" i="2" s="1"/>
  <c r="J7" i="2"/>
  <c r="I7" i="2"/>
  <c r="I8" i="2" s="1"/>
  <c r="I9" i="2" s="1"/>
  <c r="H7" i="2"/>
  <c r="H8" i="2" s="1"/>
  <c r="H9" i="2" s="1"/>
  <c r="G7" i="2"/>
  <c r="G8" i="2" s="1"/>
  <c r="G9" i="2" s="1"/>
  <c r="F7" i="2"/>
  <c r="E7" i="2"/>
  <c r="E8" i="2" s="1"/>
  <c r="E9" i="2" s="1"/>
  <c r="D7" i="2"/>
  <c r="D8" i="2" s="1"/>
  <c r="D9" i="2" s="1"/>
  <c r="C7" i="2"/>
  <c r="C8" i="2" s="1"/>
  <c r="C9" i="2" s="1"/>
  <c r="B7" i="2"/>
  <c r="A7" i="2"/>
  <c r="A8" i="2" s="1"/>
  <c r="A9" i="2" s="1"/>
  <c r="L10" i="4" l="1"/>
  <c r="K10" i="4"/>
  <c r="J10" i="4"/>
  <c r="I10" i="4"/>
  <c r="H10" i="4"/>
  <c r="G10" i="4"/>
  <c r="F10" i="4"/>
  <c r="E10" i="4"/>
  <c r="D10" i="4"/>
  <c r="C10" i="4"/>
  <c r="B10" i="4"/>
  <c r="A10" i="4"/>
  <c r="L9" i="4"/>
  <c r="K9" i="4"/>
  <c r="J9" i="4"/>
  <c r="I9" i="4"/>
  <c r="H9" i="4"/>
  <c r="G9" i="4"/>
  <c r="F9" i="4"/>
  <c r="E9" i="4"/>
  <c r="D9" i="4"/>
  <c r="C9" i="4"/>
  <c r="B9" i="4"/>
  <c r="A9" i="4"/>
  <c r="L8" i="4"/>
  <c r="K8" i="4"/>
  <c r="J8" i="4"/>
  <c r="I8" i="4"/>
  <c r="H8" i="4"/>
  <c r="G8" i="4"/>
  <c r="F8" i="4"/>
  <c r="E8" i="4"/>
  <c r="D8" i="4"/>
  <c r="B8" i="4"/>
  <c r="A8" i="4"/>
  <c r="C8" i="4"/>
  <c r="L5" i="4"/>
  <c r="K5" i="4"/>
  <c r="J5" i="4"/>
  <c r="I5" i="4"/>
  <c r="H5" i="4"/>
  <c r="G5" i="4"/>
  <c r="F5" i="4"/>
  <c r="E5" i="4"/>
  <c r="D5" i="4"/>
  <c r="C5" i="4"/>
  <c r="B5" i="4"/>
  <c r="A5" i="4"/>
  <c r="J25" i="1" l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<sst xmlns="http://schemas.openxmlformats.org/spreadsheetml/2006/main" count="129" uniqueCount="84">
  <si>
    <t>Month</t>
  </si>
  <si>
    <t>Average size of army</t>
  </si>
  <si>
    <t>Apr 1854</t>
  </si>
  <si>
    <t>May 1854</t>
  </si>
  <si>
    <t>Jun 1854</t>
  </si>
  <si>
    <t>Jul 1854</t>
  </si>
  <si>
    <t>Aug 1854</t>
  </si>
  <si>
    <t>Sep 1854</t>
  </si>
  <si>
    <t>Oct 1854</t>
  </si>
  <si>
    <t>Nov 1854</t>
  </si>
  <si>
    <t>Dec 1854</t>
  </si>
  <si>
    <t>Jan 1855</t>
  </si>
  <si>
    <t>Feb 1855</t>
  </si>
  <si>
    <t>Mar 1855</t>
  </si>
  <si>
    <t>Apr 1855</t>
  </si>
  <si>
    <t>May 1855</t>
  </si>
  <si>
    <t>Jun 1855</t>
  </si>
  <si>
    <t>Jul 1855</t>
  </si>
  <si>
    <t>Sep 1855</t>
  </si>
  <si>
    <t>Oct 1855</t>
  </si>
  <si>
    <t>Nov 1855</t>
  </si>
  <si>
    <t>Dec 1855</t>
  </si>
  <si>
    <t>Jan 1856</t>
  </si>
  <si>
    <t>Feb 1856</t>
  </si>
  <si>
    <t>Mar 1856</t>
  </si>
  <si>
    <t>Aug 1855</t>
  </si>
  <si>
    <t>Deaths_Zymotic diseases</t>
  </si>
  <si>
    <t>Deaths_Wounds &amp; injuries</t>
  </si>
  <si>
    <t>Deaths_All other causes</t>
  </si>
  <si>
    <t>MRPT_Zymotic diseases</t>
  </si>
  <si>
    <t>MRPT_Wounds &amp; injuries</t>
  </si>
  <si>
    <t>MRPT_All other causes</t>
  </si>
  <si>
    <t>MonthYear</t>
  </si>
  <si>
    <t>Year</t>
  </si>
  <si>
    <t>connector</t>
  </si>
  <si>
    <t xml:space="preserve">                                                        </t>
  </si>
  <si>
    <t xml:space="preserve">                                            </t>
  </si>
  <si>
    <t xml:space="preserve">                                                                            </t>
  </si>
  <si>
    <t xml:space="preserve">                       </t>
  </si>
  <si>
    <t xml:space="preserve">                              </t>
  </si>
  <si>
    <t xml:space="preserve">                         </t>
  </si>
  <si>
    <t xml:space="preserve">             </t>
  </si>
  <si>
    <t>Apr'54</t>
  </si>
  <si>
    <t>Jul'54</t>
  </si>
  <si>
    <t>Aug'54</t>
  </si>
  <si>
    <t>Sep'54</t>
  </si>
  <si>
    <t>Oct'54</t>
  </si>
  <si>
    <t>Nov'54</t>
  </si>
  <si>
    <t>Dec'54</t>
  </si>
  <si>
    <t>Jan'55</t>
  </si>
  <si>
    <t>Feb'55</t>
  </si>
  <si>
    <t>Mar'55</t>
  </si>
  <si>
    <t>May'54</t>
  </si>
  <si>
    <t>Jun'54</t>
  </si>
  <si>
    <t xml:space="preserve">                                                    </t>
  </si>
  <si>
    <t xml:space="preserve">                                                                           </t>
  </si>
  <si>
    <t xml:space="preserve">                                     </t>
  </si>
  <si>
    <t xml:space="preserve">                                 </t>
  </si>
  <si>
    <t xml:space="preserve">                                              </t>
  </si>
  <si>
    <t xml:space="preserve">                                                                </t>
  </si>
  <si>
    <t xml:space="preserve">                                                                                      </t>
  </si>
  <si>
    <t xml:space="preserve">                            </t>
  </si>
  <si>
    <t>Apr'55</t>
  </si>
  <si>
    <t>May'55</t>
  </si>
  <si>
    <t>Jun '55</t>
  </si>
  <si>
    <t>Jul'55</t>
  </si>
  <si>
    <t>Aug'55</t>
  </si>
  <si>
    <t>Sep'55</t>
  </si>
  <si>
    <t>Oct'55</t>
  </si>
  <si>
    <t>Nov'55</t>
  </si>
  <si>
    <t>Dec'55</t>
  </si>
  <si>
    <t>Jan'56</t>
  </si>
  <si>
    <t>Feb'56</t>
  </si>
  <si>
    <t>Mar'56</t>
  </si>
  <si>
    <t xml:space="preserve">                               </t>
  </si>
  <si>
    <t xml:space="preserve">                                                                         </t>
  </si>
  <si>
    <t xml:space="preserve">                                   </t>
  </si>
  <si>
    <t xml:space="preserve">                                                                                          </t>
  </si>
  <si>
    <t xml:space="preserve">                                                  </t>
  </si>
  <si>
    <t>*</t>
  </si>
  <si>
    <t>Annual rate of mortality per 1000</t>
  </si>
  <si>
    <t>Zymotic diseases</t>
  </si>
  <si>
    <t>Wounds &amp; injuries</t>
  </si>
  <si>
    <t>All other causes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</si>
</sst>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.4"/>
      <color rgb="FF111111"/>
      <name val="Arial"/>
      <family val="2"/>
    </font>
    <font>
      <b/>
      <sz val="9.4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9.4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3">
    <xf numFmtId="0" fontId="0" fillId="0" borderId="0" xfId="0"/>
    <xf numFmtId="0" fontId="2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0" xfId="1" applyFont="1"/>
    <xf numFmtId="0" fontId="0" fillId="3" borderId="0" xfId="0" applyFill="1"/>
    <xf numFmtId="9" fontId="0" fillId="3" borderId="0" xfId="1" applyFont="1" applyFill="1"/>
    <xf numFmtId="0" fontId="0" fillId="3" borderId="5" xfId="0" applyFill="1" applyBorder="1"/>
    <xf numFmtId="0" fontId="0" fillId="3" borderId="7" xfId="0" applyFill="1" applyBorder="1"/>
    <xf numFmtId="9" fontId="0" fillId="3" borderId="0" xfId="1" applyFont="1" applyFill="1" applyBorder="1"/>
    <xf numFmtId="9" fontId="0" fillId="3" borderId="6" xfId="1" applyFont="1" applyFill="1" applyBorder="1"/>
    <xf numFmtId="9" fontId="0" fillId="3" borderId="8" xfId="1" applyFont="1" applyFill="1" applyBorder="1"/>
    <xf numFmtId="9" fontId="0" fillId="3" borderId="9" xfId="1" applyFont="1" applyFill="1" applyBorder="1"/>
    <xf numFmtId="9" fontId="0" fillId="4" borderId="0" xfId="0" applyNumberFormat="1" applyFill="1"/>
    <xf numFmtId="9" fontId="0" fillId="5" borderId="0" xfId="0" applyNumberFormat="1" applyFill="1"/>
    <xf numFmtId="9" fontId="0" fillId="6" borderId="0" xfId="1" applyFont="1" applyFill="1"/>
    <xf numFmtId="0" fontId="0" fillId="7" borderId="0" xfId="0" applyFill="1"/>
    <xf numFmtId="1" fontId="0" fillId="0" borderId="0" xfId="1" applyNumberFormat="1" applyFont="1"/>
    <xf numFmtId="1" fontId="0" fillId="0" borderId="0" xfId="0" applyNumberFormat="1"/>
    <xf numFmtId="0" fontId="0" fillId="8" borderId="0" xfId="0" applyFill="1"/>
    <xf numFmtId="0" fontId="5" fillId="0" borderId="0" xfId="0" applyFont="1"/>
    <xf numFmtId="0" fontId="0" fillId="3" borderId="0" xfId="0" applyFill="1" applyBorder="1"/>
    <xf numFmtId="0" fontId="4" fillId="0" borderId="0" xfId="0" applyFont="1"/>
    <xf numFmtId="1" fontId="4" fillId="0" borderId="0" xfId="1" applyNumberFormat="1" applyFont="1"/>
    <xf numFmtId="1" fontId="4" fillId="0" borderId="0" xfId="0" applyNumberFormat="1" applyFont="1"/>
    <xf numFmtId="0" fontId="5" fillId="0" borderId="0" xfId="0" quotePrefix="1" applyFont="1"/>
    <xf numFmtId="0" fontId="2" fillId="2" borderId="10" xfId="0" applyFont="1" applyFill="1" applyBorder="1" applyAlignment="1">
      <alignment horizontal="center" vertical="top" wrapText="1"/>
    </xf>
    <xf numFmtId="0" fontId="2" fillId="2" borderId="11" xfId="0" applyFont="1" applyFill="1" applyBorder="1" applyAlignment="1">
      <alignment horizontal="center" vertical="top" wrapText="1"/>
    </xf>
    <xf numFmtId="0" fontId="6" fillId="2" borderId="1" xfId="0" applyFont="1" applyFill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3521</xdr:col>
      <xdr:colOff>581025</xdr:colOff>
      <xdr:row>11268</xdr:row>
      <xdr:rowOff>0</xdr:rowOff>
    </xdr:to>
    <xdr:grpSp>
      <xdr:nvGrpSpPr>
        <xdr:cNvPr id="94" name="group1">
          <a:extLst>
            <a:ext uri="{FF2B5EF4-FFF2-40B4-BE49-F238E27FC236}">
              <a16:creationId xmlns:a16="http://schemas.microsoft.com/office/drawing/2014/main" id="{EE50D846-D91F-4A0B-AE15-09DB6DC19225}"/>
            </a:ext>
          </a:extLst>
        </xdr:cNvPr>
        <xdr:cNvGrpSpPr/>
      </xdr:nvGrpSpPr>
      <xdr:grpSpPr>
        <a:xfrm>
          <a:off x="0" y="0"/>
          <a:ext cx="2147011200" cy="2147011200"/>
          <a:chOff x="0" y="0"/>
          <a:chExt cx="2147011200" cy="2147011200"/>
        </a:xfrm>
      </xdr:grpSpPr>
      <xdr:sp macro="" textlink="">
        <xdr:nvSpPr>
          <xdr:cNvPr id="19" name="Partial Circle 18">
            <a:extLst>
              <a:ext uri="{FF2B5EF4-FFF2-40B4-BE49-F238E27FC236}">
                <a16:creationId xmlns:a16="http://schemas.microsoft.com/office/drawing/2014/main" id="{1BEE4BFC-1FEF-47DC-B559-365C14504684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8" name="Partial Circle 17">
            <a:extLst>
              <a:ext uri="{FF2B5EF4-FFF2-40B4-BE49-F238E27FC236}">
                <a16:creationId xmlns:a16="http://schemas.microsoft.com/office/drawing/2014/main" id="{2629CC74-1276-41F0-A843-8DF724FD1B36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8" name="Partial Circle 27">
            <a:extLst>
              <a:ext uri="{FF2B5EF4-FFF2-40B4-BE49-F238E27FC236}">
                <a16:creationId xmlns:a16="http://schemas.microsoft.com/office/drawing/2014/main" id="{D19E536B-18C4-485C-A3CB-8910636DC1F2}"/>
              </a:ext>
            </a:extLst>
          </xdr:cNvPr>
          <xdr:cNvSpPr>
            <a:spLocks noChangeAspect="1"/>
          </xdr:cNvSpPr>
        </xdr:nvSpPr>
        <xdr:spPr>
          <a:xfrm rot="4320000">
            <a:off x="1052550600" y="1052550600"/>
            <a:ext cx="41910000" cy="41910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" name="Partial Circle 26">
            <a:extLst>
              <a:ext uri="{FF2B5EF4-FFF2-40B4-BE49-F238E27FC236}">
                <a16:creationId xmlns:a16="http://schemas.microsoft.com/office/drawing/2014/main" id="{DF84EC9F-36BD-4347-B731-5C43352119BB}"/>
              </a:ext>
            </a:extLst>
          </xdr:cNvPr>
          <xdr:cNvSpPr>
            <a:spLocks noChangeAspect="1"/>
          </xdr:cNvSpPr>
        </xdr:nvSpPr>
        <xdr:spPr>
          <a:xfrm rot="4320000">
            <a:off x="1040304171" y="1040304171"/>
            <a:ext cx="66402858" cy="66402858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6" name="Partial Circle 25">
            <a:extLst>
              <a:ext uri="{FF2B5EF4-FFF2-40B4-BE49-F238E27FC236}">
                <a16:creationId xmlns:a16="http://schemas.microsoft.com/office/drawing/2014/main" id="{A5C23A10-D79F-46DD-8E67-68A4A88D4135}"/>
              </a:ext>
            </a:extLst>
          </xdr:cNvPr>
          <xdr:cNvSpPr>
            <a:spLocks noChangeAspect="1"/>
          </xdr:cNvSpPr>
        </xdr:nvSpPr>
        <xdr:spPr>
          <a:xfrm rot="4320000">
            <a:off x="1015811313" y="1015811313"/>
            <a:ext cx="115388575" cy="11538857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5" name="Partial Circle 24">
            <a:extLst>
              <a:ext uri="{FF2B5EF4-FFF2-40B4-BE49-F238E27FC236}">
                <a16:creationId xmlns:a16="http://schemas.microsoft.com/office/drawing/2014/main" id="{23309EA9-340E-4359-86E8-68EC2542300F}"/>
              </a:ext>
            </a:extLst>
          </xdr:cNvPr>
          <xdr:cNvSpPr>
            <a:spLocks noChangeAspect="1"/>
          </xdr:cNvSpPr>
        </xdr:nvSpPr>
        <xdr:spPr>
          <a:xfrm rot="4320000">
            <a:off x="949136317" y="949136317"/>
            <a:ext cx="248738567" cy="248738567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4" name="Partial Circle 23">
            <a:extLst>
              <a:ext uri="{FF2B5EF4-FFF2-40B4-BE49-F238E27FC236}">
                <a16:creationId xmlns:a16="http://schemas.microsoft.com/office/drawing/2014/main" id="{99D37133-ABA8-402E-9453-BA5340C51476}"/>
              </a:ext>
            </a:extLst>
          </xdr:cNvPr>
          <xdr:cNvSpPr>
            <a:spLocks noChangeAspect="1"/>
          </xdr:cNvSpPr>
        </xdr:nvSpPr>
        <xdr:spPr>
          <a:xfrm rot="4320000">
            <a:off x="830754168" y="830754168"/>
            <a:ext cx="485502865" cy="48550286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3" name="Partial Circle 22">
            <a:extLst>
              <a:ext uri="{FF2B5EF4-FFF2-40B4-BE49-F238E27FC236}">
                <a16:creationId xmlns:a16="http://schemas.microsoft.com/office/drawing/2014/main" id="{19157BAA-E389-424D-B0CE-3648FA9D2BDB}"/>
              </a:ext>
            </a:extLst>
          </xdr:cNvPr>
          <xdr:cNvSpPr>
            <a:spLocks noChangeAspect="1"/>
          </xdr:cNvSpPr>
        </xdr:nvSpPr>
        <xdr:spPr>
          <a:xfrm rot="4320000">
            <a:off x="898789884" y="898789884"/>
            <a:ext cx="349431433" cy="349431433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2" name="Partial Circle 21">
            <a:extLst>
              <a:ext uri="{FF2B5EF4-FFF2-40B4-BE49-F238E27FC236}">
                <a16:creationId xmlns:a16="http://schemas.microsoft.com/office/drawing/2014/main" id="{B8D9CD5E-465F-43F4-A95F-3384F296EFC7}"/>
              </a:ext>
            </a:extLst>
          </xdr:cNvPr>
          <xdr:cNvSpPr>
            <a:spLocks noChangeAspect="1"/>
          </xdr:cNvSpPr>
        </xdr:nvSpPr>
        <xdr:spPr>
          <a:xfrm rot="4320000">
            <a:off x="815786302" y="815786302"/>
            <a:ext cx="515438596" cy="51543859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1" name="Partial Circle 20">
            <a:extLst>
              <a:ext uri="{FF2B5EF4-FFF2-40B4-BE49-F238E27FC236}">
                <a16:creationId xmlns:a16="http://schemas.microsoft.com/office/drawing/2014/main" id="{7CEC78F2-2DF9-4C95-BC44-1A9EE0B240C0}"/>
              </a:ext>
            </a:extLst>
          </xdr:cNvPr>
          <xdr:cNvSpPr>
            <a:spLocks noChangeAspect="1"/>
          </xdr:cNvSpPr>
        </xdr:nvSpPr>
        <xdr:spPr>
          <a:xfrm rot="4320000">
            <a:off x="415736331" y="415736331"/>
            <a:ext cx="1315538538" cy="1315538538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0" name="Partial Circle 19">
            <a:extLst>
              <a:ext uri="{FF2B5EF4-FFF2-40B4-BE49-F238E27FC236}">
                <a16:creationId xmlns:a16="http://schemas.microsoft.com/office/drawing/2014/main" id="{0414F63B-7F26-44AB-9532-E43F21DABD0A}"/>
              </a:ext>
            </a:extLst>
          </xdr:cNvPr>
          <xdr:cNvSpPr>
            <a:spLocks noChangeAspect="1"/>
          </xdr:cNvSpPr>
        </xdr:nvSpPr>
        <xdr:spPr>
          <a:xfrm rot="4320000">
            <a:off x="553168466" y="553168466"/>
            <a:ext cx="1040674269" cy="1040674269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7" name="Partial Circle 36">
            <a:extLst>
              <a:ext uri="{FF2B5EF4-FFF2-40B4-BE49-F238E27FC236}">
                <a16:creationId xmlns:a16="http://schemas.microsoft.com/office/drawing/2014/main" id="{EA56086B-F8C4-4520-A1B7-091DB7CEAB44}"/>
              </a:ext>
            </a:extLst>
          </xdr:cNvPr>
          <xdr:cNvSpPr>
            <a:spLocks noChangeAspect="1"/>
          </xdr:cNvSpPr>
        </xdr:nvSpPr>
        <xdr:spPr>
          <a:xfrm rot="6480000">
            <a:off x="1072961315" y="1072961315"/>
            <a:ext cx="1088571" cy="1088571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6" name="Partial Circle 35">
            <a:extLst>
              <a:ext uri="{FF2B5EF4-FFF2-40B4-BE49-F238E27FC236}">
                <a16:creationId xmlns:a16="http://schemas.microsoft.com/office/drawing/2014/main" id="{7C25512A-E561-43B8-890A-183BAD8E9EAA}"/>
              </a:ext>
            </a:extLst>
          </xdr:cNvPr>
          <xdr:cNvSpPr>
            <a:spLocks noChangeAspect="1"/>
          </xdr:cNvSpPr>
        </xdr:nvSpPr>
        <xdr:spPr>
          <a:xfrm rot="6480000">
            <a:off x="1072961315" y="1072961315"/>
            <a:ext cx="1088571" cy="1088571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5" name="Partial Circle 34">
            <a:extLst>
              <a:ext uri="{FF2B5EF4-FFF2-40B4-BE49-F238E27FC236}">
                <a16:creationId xmlns:a16="http://schemas.microsoft.com/office/drawing/2014/main" id="{CC974DAF-3C96-4EC7-8FFD-51620249EA3B}"/>
              </a:ext>
            </a:extLst>
          </xdr:cNvPr>
          <xdr:cNvSpPr>
            <a:spLocks noChangeAspect="1"/>
          </xdr:cNvSpPr>
        </xdr:nvSpPr>
        <xdr:spPr>
          <a:xfrm rot="6480000">
            <a:off x="1070239886" y="1070239886"/>
            <a:ext cx="6531429" cy="6531429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4" name="Partial Circle 33">
            <a:extLst>
              <a:ext uri="{FF2B5EF4-FFF2-40B4-BE49-F238E27FC236}">
                <a16:creationId xmlns:a16="http://schemas.microsoft.com/office/drawing/2014/main" id="{DFDEDE55-B367-4C70-B296-618AE1FB6A21}"/>
              </a:ext>
            </a:extLst>
          </xdr:cNvPr>
          <xdr:cNvSpPr>
            <a:spLocks noChangeAspect="1"/>
          </xdr:cNvSpPr>
        </xdr:nvSpPr>
        <xdr:spPr>
          <a:xfrm rot="6480000">
            <a:off x="1048468457" y="1048468457"/>
            <a:ext cx="50074287" cy="50074287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3" name="Partial Circle 32">
            <a:extLst>
              <a:ext uri="{FF2B5EF4-FFF2-40B4-BE49-F238E27FC236}">
                <a16:creationId xmlns:a16="http://schemas.microsoft.com/office/drawing/2014/main" id="{6F00BF34-4092-4DCA-8949-B340E4FDFCAC}"/>
              </a:ext>
            </a:extLst>
          </xdr:cNvPr>
          <xdr:cNvSpPr>
            <a:spLocks noChangeAspect="1"/>
          </xdr:cNvSpPr>
        </xdr:nvSpPr>
        <xdr:spPr>
          <a:xfrm rot="6480000">
            <a:off x="1028057742" y="1028057742"/>
            <a:ext cx="90895716" cy="9089571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2" name="Partial Circle 31">
            <a:extLst>
              <a:ext uri="{FF2B5EF4-FFF2-40B4-BE49-F238E27FC236}">
                <a16:creationId xmlns:a16="http://schemas.microsoft.com/office/drawing/2014/main" id="{04083F00-ABA5-4787-89B5-75F5FE1662B0}"/>
              </a:ext>
            </a:extLst>
          </xdr:cNvPr>
          <xdr:cNvSpPr>
            <a:spLocks noChangeAspect="1"/>
          </xdr:cNvSpPr>
        </xdr:nvSpPr>
        <xdr:spPr>
          <a:xfrm rot="6480000">
            <a:off x="1000843458" y="1000843458"/>
            <a:ext cx="145324284" cy="145324284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1" name="Partial Circle 30">
            <a:extLst>
              <a:ext uri="{FF2B5EF4-FFF2-40B4-BE49-F238E27FC236}">
                <a16:creationId xmlns:a16="http://schemas.microsoft.com/office/drawing/2014/main" id="{EE42CE8C-5F71-45B7-9C24-CB1214A4F3A7}"/>
              </a:ext>
            </a:extLst>
          </xdr:cNvPr>
          <xdr:cNvSpPr>
            <a:spLocks noChangeAspect="1"/>
          </xdr:cNvSpPr>
        </xdr:nvSpPr>
        <xdr:spPr>
          <a:xfrm rot="6480000">
            <a:off x="697404168" y="697404168"/>
            <a:ext cx="752202865" cy="75220286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0" name="Partial Circle 29">
            <a:extLst>
              <a:ext uri="{FF2B5EF4-FFF2-40B4-BE49-F238E27FC236}">
                <a16:creationId xmlns:a16="http://schemas.microsoft.com/office/drawing/2014/main" id="{54B60165-305C-4D2F-90C1-E917EFF7744B}"/>
              </a:ext>
            </a:extLst>
          </xdr:cNvPr>
          <xdr:cNvSpPr>
            <a:spLocks noChangeAspect="1"/>
          </xdr:cNvSpPr>
        </xdr:nvSpPr>
        <xdr:spPr>
          <a:xfrm rot="6480000">
            <a:off x="849804168" y="849804168"/>
            <a:ext cx="447402865" cy="44740286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9" name="Partial Circle 28">
            <a:extLst>
              <a:ext uri="{FF2B5EF4-FFF2-40B4-BE49-F238E27FC236}">
                <a16:creationId xmlns:a16="http://schemas.microsoft.com/office/drawing/2014/main" id="{DFD34930-46E4-4D21-9F9E-7440CF97E142}"/>
              </a:ext>
            </a:extLst>
          </xdr:cNvPr>
          <xdr:cNvSpPr>
            <a:spLocks noChangeAspect="1"/>
          </xdr:cNvSpPr>
        </xdr:nvSpPr>
        <xdr:spPr>
          <a:xfrm rot="6480000">
            <a:off x="890625600" y="890625600"/>
            <a:ext cx="365760000" cy="365760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6" name="Partial Circle 45">
            <a:extLst>
              <a:ext uri="{FF2B5EF4-FFF2-40B4-BE49-F238E27FC236}">
                <a16:creationId xmlns:a16="http://schemas.microsoft.com/office/drawing/2014/main" id="{C77FD5A1-85E7-424B-9C59-A8CC67A51EEE}"/>
              </a:ext>
            </a:extLst>
          </xdr:cNvPr>
          <xdr:cNvSpPr>
            <a:spLocks noChangeAspect="1"/>
          </xdr:cNvSpPr>
        </xdr:nvSpPr>
        <xdr:spPr>
          <a:xfrm rot="8640000">
            <a:off x="1025336313" y="1025336313"/>
            <a:ext cx="96338575" cy="9633857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5" name="Partial Circle 44">
            <a:extLst>
              <a:ext uri="{FF2B5EF4-FFF2-40B4-BE49-F238E27FC236}">
                <a16:creationId xmlns:a16="http://schemas.microsoft.com/office/drawing/2014/main" id="{615404CD-CB26-4069-96EC-2452DF306BCF}"/>
              </a:ext>
            </a:extLst>
          </xdr:cNvPr>
          <xdr:cNvSpPr>
            <a:spLocks noChangeAspect="1"/>
          </xdr:cNvSpPr>
        </xdr:nvSpPr>
        <xdr:spPr>
          <a:xfrm rot="8640000">
            <a:off x="1047107744" y="1047107744"/>
            <a:ext cx="52795713" cy="52795713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4" name="Partial Circle 43">
            <a:extLst>
              <a:ext uri="{FF2B5EF4-FFF2-40B4-BE49-F238E27FC236}">
                <a16:creationId xmlns:a16="http://schemas.microsoft.com/office/drawing/2014/main" id="{0B16FB53-3D0E-42DF-BBFE-B4F146611B46}"/>
              </a:ext>
            </a:extLst>
          </xdr:cNvPr>
          <xdr:cNvSpPr>
            <a:spLocks noChangeAspect="1"/>
          </xdr:cNvSpPr>
        </xdr:nvSpPr>
        <xdr:spPr>
          <a:xfrm rot="8640000">
            <a:off x="1007647026" y="1007647026"/>
            <a:ext cx="131717149" cy="131717149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3" name="Partial Circle 42">
            <a:extLst>
              <a:ext uri="{FF2B5EF4-FFF2-40B4-BE49-F238E27FC236}">
                <a16:creationId xmlns:a16="http://schemas.microsoft.com/office/drawing/2014/main" id="{6B64B98C-A2AA-4804-B14F-4D4D77DF205A}"/>
              </a:ext>
            </a:extLst>
          </xdr:cNvPr>
          <xdr:cNvSpPr>
            <a:spLocks noChangeAspect="1"/>
          </xdr:cNvSpPr>
        </xdr:nvSpPr>
        <xdr:spPr>
          <a:xfrm rot="8640000">
            <a:off x="1034861313" y="1034861313"/>
            <a:ext cx="77288575" cy="7728857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2" name="Partial Circle 41">
            <a:extLst>
              <a:ext uri="{FF2B5EF4-FFF2-40B4-BE49-F238E27FC236}">
                <a16:creationId xmlns:a16="http://schemas.microsoft.com/office/drawing/2014/main" id="{A1CADB5F-F2B8-4AD5-8AA7-FD957C2DA3FE}"/>
              </a:ext>
            </a:extLst>
          </xdr:cNvPr>
          <xdr:cNvSpPr>
            <a:spLocks noChangeAspect="1"/>
          </xdr:cNvSpPr>
        </xdr:nvSpPr>
        <xdr:spPr>
          <a:xfrm rot="8640000">
            <a:off x="1029418458" y="1029418458"/>
            <a:ext cx="88174284" cy="88174284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1" name="Partial Circle 40">
            <a:extLst>
              <a:ext uri="{FF2B5EF4-FFF2-40B4-BE49-F238E27FC236}">
                <a16:creationId xmlns:a16="http://schemas.microsoft.com/office/drawing/2014/main" id="{A58FFBFD-6A81-43C8-8741-E2EB60E155BA}"/>
              </a:ext>
            </a:extLst>
          </xdr:cNvPr>
          <xdr:cNvSpPr>
            <a:spLocks noChangeAspect="1"/>
          </xdr:cNvSpPr>
        </xdr:nvSpPr>
        <xdr:spPr>
          <a:xfrm rot="8640000">
            <a:off x="1048468457" y="1048468457"/>
            <a:ext cx="50074287" cy="50074287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0" name="Partial Circle 39">
            <a:extLst>
              <a:ext uri="{FF2B5EF4-FFF2-40B4-BE49-F238E27FC236}">
                <a16:creationId xmlns:a16="http://schemas.microsoft.com/office/drawing/2014/main" id="{A7F3C5EC-2EC6-4A5E-8622-56EBD993FB46}"/>
              </a:ext>
            </a:extLst>
          </xdr:cNvPr>
          <xdr:cNvSpPr>
            <a:spLocks noChangeAspect="1"/>
          </xdr:cNvSpPr>
        </xdr:nvSpPr>
        <xdr:spPr>
          <a:xfrm rot="8640000">
            <a:off x="1045747029" y="1045747029"/>
            <a:ext cx="55517142" cy="55517142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9" name="Partial Circle 38">
            <a:extLst>
              <a:ext uri="{FF2B5EF4-FFF2-40B4-BE49-F238E27FC236}">
                <a16:creationId xmlns:a16="http://schemas.microsoft.com/office/drawing/2014/main" id="{BF79877B-3AC8-4B0C-B151-51A2BB7C6BD3}"/>
              </a:ext>
            </a:extLst>
          </xdr:cNvPr>
          <xdr:cNvSpPr>
            <a:spLocks noChangeAspect="1"/>
          </xdr:cNvSpPr>
        </xdr:nvSpPr>
        <xdr:spPr>
          <a:xfrm rot="8640000">
            <a:off x="1038943458" y="1038943458"/>
            <a:ext cx="69124284" cy="69124284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8" name="Partial Circle 37">
            <a:extLst>
              <a:ext uri="{FF2B5EF4-FFF2-40B4-BE49-F238E27FC236}">
                <a16:creationId xmlns:a16="http://schemas.microsoft.com/office/drawing/2014/main" id="{DEC4EC69-FBE9-41FF-9460-8758414B276A}"/>
              </a:ext>
            </a:extLst>
          </xdr:cNvPr>
          <xdr:cNvSpPr>
            <a:spLocks noChangeAspect="1"/>
          </xdr:cNvSpPr>
        </xdr:nvSpPr>
        <xdr:spPr>
          <a:xfrm rot="8640000">
            <a:off x="1028057742" y="1028057742"/>
            <a:ext cx="90895716" cy="9089571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5" name="Partial Circle 54">
            <a:extLst>
              <a:ext uri="{FF2B5EF4-FFF2-40B4-BE49-F238E27FC236}">
                <a16:creationId xmlns:a16="http://schemas.microsoft.com/office/drawing/2014/main" id="{379B6038-25AF-4520-BCED-927551632F07}"/>
              </a:ext>
            </a:extLst>
          </xdr:cNvPr>
          <xdr:cNvSpPr>
            <a:spLocks noChangeAspect="1"/>
          </xdr:cNvSpPr>
        </xdr:nvSpPr>
        <xdr:spPr>
          <a:xfrm rot="10800000">
            <a:off x="1067654528" y="1067654529"/>
            <a:ext cx="11702143" cy="11702143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4" name="Partial Circle 53">
            <a:extLst>
              <a:ext uri="{FF2B5EF4-FFF2-40B4-BE49-F238E27FC236}">
                <a16:creationId xmlns:a16="http://schemas.microsoft.com/office/drawing/2014/main" id="{5DD1804F-0241-4889-ACD9-913AF593CDF9}"/>
              </a:ext>
            </a:extLst>
          </xdr:cNvPr>
          <xdr:cNvSpPr>
            <a:spLocks noChangeAspect="1"/>
          </xdr:cNvSpPr>
        </xdr:nvSpPr>
        <xdr:spPr>
          <a:xfrm rot="10800000">
            <a:off x="1063980600" y="1063980600"/>
            <a:ext cx="19050000" cy="19050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3" name="Partial Circle 52">
            <a:extLst>
              <a:ext uri="{FF2B5EF4-FFF2-40B4-BE49-F238E27FC236}">
                <a16:creationId xmlns:a16="http://schemas.microsoft.com/office/drawing/2014/main" id="{FFD67B2D-A1FD-447A-A5A9-DDB594CCAE9B}"/>
              </a:ext>
            </a:extLst>
          </xdr:cNvPr>
          <xdr:cNvSpPr>
            <a:spLocks noChangeAspect="1"/>
          </xdr:cNvSpPr>
        </xdr:nvSpPr>
        <xdr:spPr>
          <a:xfrm rot="10800000">
            <a:off x="1057449171" y="1057449171"/>
            <a:ext cx="32112858" cy="32112858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2" name="Partial Circle 51">
            <a:extLst>
              <a:ext uri="{FF2B5EF4-FFF2-40B4-BE49-F238E27FC236}">
                <a16:creationId xmlns:a16="http://schemas.microsoft.com/office/drawing/2014/main" id="{C157F00E-AA73-4716-8E14-9BBB248CCD3D}"/>
              </a:ext>
            </a:extLst>
          </xdr:cNvPr>
          <xdr:cNvSpPr>
            <a:spLocks noChangeAspect="1"/>
          </xdr:cNvSpPr>
        </xdr:nvSpPr>
        <xdr:spPr>
          <a:xfrm rot="10800000">
            <a:off x="1038535242" y="1038535242"/>
            <a:ext cx="69940716" cy="6994071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1" name="Partial Circle 50">
            <a:extLst>
              <a:ext uri="{FF2B5EF4-FFF2-40B4-BE49-F238E27FC236}">
                <a16:creationId xmlns:a16="http://schemas.microsoft.com/office/drawing/2014/main" id="{21F3E2D2-DBF3-41AA-A8FA-6467CEA8CD63}"/>
              </a:ext>
            </a:extLst>
          </xdr:cNvPr>
          <xdr:cNvSpPr>
            <a:spLocks noChangeAspect="1"/>
          </xdr:cNvSpPr>
        </xdr:nvSpPr>
        <xdr:spPr>
          <a:xfrm rot="10800000">
            <a:off x="996217025" y="996217026"/>
            <a:ext cx="154577149" cy="154577149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0" name="Partial Circle 49">
            <a:extLst>
              <a:ext uri="{FF2B5EF4-FFF2-40B4-BE49-F238E27FC236}">
                <a16:creationId xmlns:a16="http://schemas.microsoft.com/office/drawing/2014/main" id="{81A0722D-125F-4C5C-A0E0-6FFB53E7AF0C}"/>
              </a:ext>
            </a:extLst>
          </xdr:cNvPr>
          <xdr:cNvSpPr>
            <a:spLocks noChangeAspect="1"/>
          </xdr:cNvSpPr>
        </xdr:nvSpPr>
        <xdr:spPr>
          <a:xfrm rot="10800000">
            <a:off x="1028329887" y="1028329888"/>
            <a:ext cx="90351425" cy="9035142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9" name="Partial Circle 48">
            <a:extLst>
              <a:ext uri="{FF2B5EF4-FFF2-40B4-BE49-F238E27FC236}">
                <a16:creationId xmlns:a16="http://schemas.microsoft.com/office/drawing/2014/main" id="{F3FDE6A8-EACD-41E9-BFCE-A9DCA376878C}"/>
              </a:ext>
            </a:extLst>
          </xdr:cNvPr>
          <xdr:cNvSpPr>
            <a:spLocks noChangeAspect="1"/>
          </xdr:cNvSpPr>
        </xdr:nvSpPr>
        <xdr:spPr>
          <a:xfrm rot="10800000">
            <a:off x="1008327383" y="1008327384"/>
            <a:ext cx="130356433" cy="130356433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8" name="Partial Circle 47">
            <a:extLst>
              <a:ext uri="{FF2B5EF4-FFF2-40B4-BE49-F238E27FC236}">
                <a16:creationId xmlns:a16="http://schemas.microsoft.com/office/drawing/2014/main" id="{C98CBC3E-CDC1-4C42-AD92-BEDB82A663F6}"/>
              </a:ext>
            </a:extLst>
          </xdr:cNvPr>
          <xdr:cNvSpPr>
            <a:spLocks noChangeAspect="1"/>
          </xdr:cNvSpPr>
        </xdr:nvSpPr>
        <xdr:spPr>
          <a:xfrm rot="10800000">
            <a:off x="896204532" y="896204532"/>
            <a:ext cx="354602135" cy="35460213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7" name="Partial Circle 46">
            <a:extLst>
              <a:ext uri="{FF2B5EF4-FFF2-40B4-BE49-F238E27FC236}">
                <a16:creationId xmlns:a16="http://schemas.microsoft.com/office/drawing/2014/main" id="{C3BB027A-09E0-4733-8CFC-26E219FF2A26}"/>
              </a:ext>
            </a:extLst>
          </xdr:cNvPr>
          <xdr:cNvSpPr>
            <a:spLocks noChangeAspect="1"/>
          </xdr:cNvSpPr>
        </xdr:nvSpPr>
        <xdr:spPr>
          <a:xfrm rot="10800000">
            <a:off x="926684532" y="926684532"/>
            <a:ext cx="293642135" cy="29364213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4" name="Partial Circle 63">
            <a:extLst>
              <a:ext uri="{FF2B5EF4-FFF2-40B4-BE49-F238E27FC236}">
                <a16:creationId xmlns:a16="http://schemas.microsoft.com/office/drawing/2014/main" id="{0A6ADF3B-0997-4F55-B568-FDDE606021F4}"/>
              </a:ext>
            </a:extLst>
          </xdr:cNvPr>
          <xdr:cNvSpPr>
            <a:spLocks noChangeAspect="1"/>
          </xdr:cNvSpPr>
        </xdr:nvSpPr>
        <xdr:spPr>
          <a:xfrm rot="12960000">
            <a:off x="1072961315" y="1072961315"/>
            <a:ext cx="1088571" cy="1088571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3" name="Partial Circle 62">
            <a:extLst>
              <a:ext uri="{FF2B5EF4-FFF2-40B4-BE49-F238E27FC236}">
                <a16:creationId xmlns:a16="http://schemas.microsoft.com/office/drawing/2014/main" id="{5567F4DC-01E6-48FB-822A-E3BF92620EE8}"/>
              </a:ext>
            </a:extLst>
          </xdr:cNvPr>
          <xdr:cNvSpPr>
            <a:spLocks noChangeAspect="1"/>
          </xdr:cNvSpPr>
        </xdr:nvSpPr>
        <xdr:spPr>
          <a:xfrm rot="12960000">
            <a:off x="1072961315" y="1072961315"/>
            <a:ext cx="1088571" cy="1088571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2" name="Partial Circle 61">
            <a:extLst>
              <a:ext uri="{FF2B5EF4-FFF2-40B4-BE49-F238E27FC236}">
                <a16:creationId xmlns:a16="http://schemas.microsoft.com/office/drawing/2014/main" id="{56E71CCF-7729-4391-8D63-26B16C5AF25E}"/>
              </a:ext>
            </a:extLst>
          </xdr:cNvPr>
          <xdr:cNvSpPr>
            <a:spLocks noChangeAspect="1"/>
          </xdr:cNvSpPr>
        </xdr:nvSpPr>
        <xdr:spPr>
          <a:xfrm rot="12960000">
            <a:off x="1072280957" y="1072280957"/>
            <a:ext cx="2449286" cy="244928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1" name="Partial Circle 60">
            <a:extLst>
              <a:ext uri="{FF2B5EF4-FFF2-40B4-BE49-F238E27FC236}">
                <a16:creationId xmlns:a16="http://schemas.microsoft.com/office/drawing/2014/main" id="{BA6D3230-7D2D-47F5-9921-53C1245082B3}"/>
              </a:ext>
            </a:extLst>
          </xdr:cNvPr>
          <xdr:cNvSpPr>
            <a:spLocks noChangeAspect="1"/>
          </xdr:cNvSpPr>
        </xdr:nvSpPr>
        <xdr:spPr>
          <a:xfrm rot="12960000">
            <a:off x="1066157743" y="1066157743"/>
            <a:ext cx="14695715" cy="1469571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0" name="Partial Circle 59">
            <a:extLst>
              <a:ext uri="{FF2B5EF4-FFF2-40B4-BE49-F238E27FC236}">
                <a16:creationId xmlns:a16="http://schemas.microsoft.com/office/drawing/2014/main" id="{AD08704B-6E21-44A0-A551-3EA925429C7F}"/>
              </a:ext>
            </a:extLst>
          </xdr:cNvPr>
          <xdr:cNvSpPr>
            <a:spLocks noChangeAspect="1"/>
          </xdr:cNvSpPr>
        </xdr:nvSpPr>
        <xdr:spPr>
          <a:xfrm rot="12960000">
            <a:off x="1058673815" y="1058673815"/>
            <a:ext cx="29663571" cy="29663571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9" name="Partial Circle 58">
            <a:extLst>
              <a:ext uri="{FF2B5EF4-FFF2-40B4-BE49-F238E27FC236}">
                <a16:creationId xmlns:a16="http://schemas.microsoft.com/office/drawing/2014/main" id="{F4AC93A2-A584-47B6-8451-15C02C65CD17}"/>
              </a:ext>
            </a:extLst>
          </xdr:cNvPr>
          <xdr:cNvSpPr>
            <a:spLocks noChangeAspect="1"/>
          </xdr:cNvSpPr>
        </xdr:nvSpPr>
        <xdr:spPr>
          <a:xfrm rot="12960000">
            <a:off x="1054455600" y="1054455600"/>
            <a:ext cx="38100000" cy="38100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8" name="Partial Circle 57">
            <a:extLst>
              <a:ext uri="{FF2B5EF4-FFF2-40B4-BE49-F238E27FC236}">
                <a16:creationId xmlns:a16="http://schemas.microsoft.com/office/drawing/2014/main" id="{7ED2C5F2-14F1-4888-A091-4A846B3F560B}"/>
              </a:ext>
            </a:extLst>
          </xdr:cNvPr>
          <xdr:cNvSpPr>
            <a:spLocks noChangeAspect="1"/>
          </xdr:cNvSpPr>
        </xdr:nvSpPr>
        <xdr:spPr>
          <a:xfrm rot="12960000">
            <a:off x="978527742" y="978527742"/>
            <a:ext cx="189955716" cy="18995571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7" name="Partial Circle 56">
            <a:extLst>
              <a:ext uri="{FF2B5EF4-FFF2-40B4-BE49-F238E27FC236}">
                <a16:creationId xmlns:a16="http://schemas.microsoft.com/office/drawing/2014/main" id="{48390BA9-6012-4D8A-BB40-7262BFC7C37E}"/>
              </a:ext>
            </a:extLst>
          </xdr:cNvPr>
          <xdr:cNvSpPr>
            <a:spLocks noChangeAspect="1"/>
          </xdr:cNvSpPr>
        </xdr:nvSpPr>
        <xdr:spPr>
          <a:xfrm rot="12960000">
            <a:off x="1012953813" y="1012953813"/>
            <a:ext cx="121103575" cy="12110357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6" name="Partial Circle 55">
            <a:extLst>
              <a:ext uri="{FF2B5EF4-FFF2-40B4-BE49-F238E27FC236}">
                <a16:creationId xmlns:a16="http://schemas.microsoft.com/office/drawing/2014/main" id="{C88C8196-8A4C-4A95-84E2-1CAC7B162D71}"/>
              </a:ext>
            </a:extLst>
          </xdr:cNvPr>
          <xdr:cNvSpPr>
            <a:spLocks noChangeAspect="1"/>
          </xdr:cNvSpPr>
        </xdr:nvSpPr>
        <xdr:spPr>
          <a:xfrm rot="12960000">
            <a:off x="1021662388" y="1021662388"/>
            <a:ext cx="103686425" cy="10368642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3" name="Partial Circle 72">
            <a:extLst>
              <a:ext uri="{FF2B5EF4-FFF2-40B4-BE49-F238E27FC236}">
                <a16:creationId xmlns:a16="http://schemas.microsoft.com/office/drawing/2014/main" id="{CBB4898A-E828-4B07-8434-453A31D45F94}"/>
              </a:ext>
            </a:extLst>
          </xdr:cNvPr>
          <xdr:cNvSpPr>
            <a:spLocks noChangeAspect="1"/>
          </xdr:cNvSpPr>
        </xdr:nvSpPr>
        <xdr:spPr>
          <a:xfrm rot="15120000">
            <a:off x="1060578815" y="1060578815"/>
            <a:ext cx="25853571" cy="25853571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2" name="Partial Circle 71">
            <a:extLst>
              <a:ext uri="{FF2B5EF4-FFF2-40B4-BE49-F238E27FC236}">
                <a16:creationId xmlns:a16="http://schemas.microsoft.com/office/drawing/2014/main" id="{052AA188-265F-4983-ADCB-EC390955252D}"/>
              </a:ext>
            </a:extLst>
          </xdr:cNvPr>
          <xdr:cNvSpPr>
            <a:spLocks noChangeAspect="1"/>
          </xdr:cNvSpPr>
        </xdr:nvSpPr>
        <xdr:spPr>
          <a:xfrm rot="15120000">
            <a:off x="1065885600" y="1065885600"/>
            <a:ext cx="15240000" cy="15240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1" name="Partial Circle 70">
            <a:extLst>
              <a:ext uri="{FF2B5EF4-FFF2-40B4-BE49-F238E27FC236}">
                <a16:creationId xmlns:a16="http://schemas.microsoft.com/office/drawing/2014/main" id="{B34F42FA-E687-4BA2-9B74-FC6CCE4A96DE}"/>
              </a:ext>
            </a:extLst>
          </xdr:cNvPr>
          <xdr:cNvSpPr>
            <a:spLocks noChangeAspect="1"/>
          </xdr:cNvSpPr>
        </xdr:nvSpPr>
        <xdr:spPr>
          <a:xfrm rot="15120000">
            <a:off x="1055272029" y="1055272029"/>
            <a:ext cx="36467142" cy="36467142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0" name="Partial Circle 69">
            <a:extLst>
              <a:ext uri="{FF2B5EF4-FFF2-40B4-BE49-F238E27FC236}">
                <a16:creationId xmlns:a16="http://schemas.microsoft.com/office/drawing/2014/main" id="{C47DA6BE-ADC1-44D3-B426-7A8CE53BCF28}"/>
              </a:ext>
            </a:extLst>
          </xdr:cNvPr>
          <xdr:cNvSpPr>
            <a:spLocks noChangeAspect="1"/>
          </xdr:cNvSpPr>
        </xdr:nvSpPr>
        <xdr:spPr>
          <a:xfrm rot="15120000">
            <a:off x="1062347743" y="1062347743"/>
            <a:ext cx="22315715" cy="2231571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9" name="Partial Circle 68">
            <a:extLst>
              <a:ext uri="{FF2B5EF4-FFF2-40B4-BE49-F238E27FC236}">
                <a16:creationId xmlns:a16="http://schemas.microsoft.com/office/drawing/2014/main" id="{6A7D105E-3008-4972-86FE-DE9A9A84D076}"/>
              </a:ext>
            </a:extLst>
          </xdr:cNvPr>
          <xdr:cNvSpPr>
            <a:spLocks noChangeAspect="1"/>
          </xdr:cNvSpPr>
        </xdr:nvSpPr>
        <xdr:spPr>
          <a:xfrm rot="15120000">
            <a:off x="1059218100" y="1059218100"/>
            <a:ext cx="28575000" cy="2857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8" name="Partial Circle 67">
            <a:extLst>
              <a:ext uri="{FF2B5EF4-FFF2-40B4-BE49-F238E27FC236}">
                <a16:creationId xmlns:a16="http://schemas.microsoft.com/office/drawing/2014/main" id="{4DB6C7E6-C429-4075-9367-88369A6B5906}"/>
              </a:ext>
            </a:extLst>
          </xdr:cNvPr>
          <xdr:cNvSpPr>
            <a:spLocks noChangeAspect="1"/>
          </xdr:cNvSpPr>
        </xdr:nvSpPr>
        <xdr:spPr>
          <a:xfrm rot="15120000">
            <a:off x="1066702029" y="1066702029"/>
            <a:ext cx="13607143" cy="13607143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7" name="Partial Circle 66">
            <a:extLst>
              <a:ext uri="{FF2B5EF4-FFF2-40B4-BE49-F238E27FC236}">
                <a16:creationId xmlns:a16="http://schemas.microsoft.com/office/drawing/2014/main" id="{768A2014-A37E-47B4-B78B-ABBA5DD9712B}"/>
              </a:ext>
            </a:extLst>
          </xdr:cNvPr>
          <xdr:cNvSpPr>
            <a:spLocks noChangeAspect="1"/>
          </xdr:cNvSpPr>
        </xdr:nvSpPr>
        <xdr:spPr>
          <a:xfrm rot="15120000">
            <a:off x="1066157743" y="1066157743"/>
            <a:ext cx="14695715" cy="14695715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6" name="Partial Circle 65">
            <a:extLst>
              <a:ext uri="{FF2B5EF4-FFF2-40B4-BE49-F238E27FC236}">
                <a16:creationId xmlns:a16="http://schemas.microsoft.com/office/drawing/2014/main" id="{ACF1D744-A925-4A87-B54F-E221C61227D8}"/>
              </a:ext>
            </a:extLst>
          </xdr:cNvPr>
          <xdr:cNvSpPr>
            <a:spLocks noChangeAspect="1"/>
          </xdr:cNvSpPr>
        </xdr:nvSpPr>
        <xdr:spPr>
          <a:xfrm rot="15120000">
            <a:off x="1063844528" y="1063844528"/>
            <a:ext cx="19322144" cy="19322144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5" name="Partial Circle 64">
            <a:extLst>
              <a:ext uri="{FF2B5EF4-FFF2-40B4-BE49-F238E27FC236}">
                <a16:creationId xmlns:a16="http://schemas.microsoft.com/office/drawing/2014/main" id="{450BB35E-88CB-4FFD-85A8-934A4F292101}"/>
              </a:ext>
            </a:extLst>
          </xdr:cNvPr>
          <xdr:cNvSpPr>
            <a:spLocks noChangeAspect="1"/>
          </xdr:cNvSpPr>
        </xdr:nvSpPr>
        <xdr:spPr>
          <a:xfrm rot="15120000">
            <a:off x="1060306672" y="1060306672"/>
            <a:ext cx="26397856" cy="26397856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2" name="Partial Circle 81">
            <a:extLst>
              <a:ext uri="{FF2B5EF4-FFF2-40B4-BE49-F238E27FC236}">
                <a16:creationId xmlns:a16="http://schemas.microsoft.com/office/drawing/2014/main" id="{5DEFE6A9-C7AD-4B1D-ADC8-530F60FEBAD6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1" name="Partial Circle 80">
            <a:extLst>
              <a:ext uri="{FF2B5EF4-FFF2-40B4-BE49-F238E27FC236}">
                <a16:creationId xmlns:a16="http://schemas.microsoft.com/office/drawing/2014/main" id="{0B935A6C-7BAA-4FC6-B9E4-3E21F1A80F46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0" name="Partial Circle 79">
            <a:extLst>
              <a:ext uri="{FF2B5EF4-FFF2-40B4-BE49-F238E27FC236}">
                <a16:creationId xmlns:a16="http://schemas.microsoft.com/office/drawing/2014/main" id="{F8958B88-A52C-42E2-A814-F5F02828D135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9" name="Partial Circle 78">
            <a:extLst>
              <a:ext uri="{FF2B5EF4-FFF2-40B4-BE49-F238E27FC236}">
                <a16:creationId xmlns:a16="http://schemas.microsoft.com/office/drawing/2014/main" id="{7858B122-2DF2-4C66-AFB1-08BCE496FEAD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8" name="Partial Circle 77">
            <a:extLst>
              <a:ext uri="{FF2B5EF4-FFF2-40B4-BE49-F238E27FC236}">
                <a16:creationId xmlns:a16="http://schemas.microsoft.com/office/drawing/2014/main" id="{7BAD0949-7ABD-47CE-A779-28331EF228C7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7" name="Partial Circle 76">
            <a:extLst>
              <a:ext uri="{FF2B5EF4-FFF2-40B4-BE49-F238E27FC236}">
                <a16:creationId xmlns:a16="http://schemas.microsoft.com/office/drawing/2014/main" id="{B364586D-E48C-48DC-8056-5B0D5DA6EB69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6" name="Partial Circle 75">
            <a:extLst>
              <a:ext uri="{FF2B5EF4-FFF2-40B4-BE49-F238E27FC236}">
                <a16:creationId xmlns:a16="http://schemas.microsoft.com/office/drawing/2014/main" id="{071FA7F1-39DB-49C5-9E78-A0BCBC4861E5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5" name="Partial Circle 74">
            <a:extLst>
              <a:ext uri="{FF2B5EF4-FFF2-40B4-BE49-F238E27FC236}">
                <a16:creationId xmlns:a16="http://schemas.microsoft.com/office/drawing/2014/main" id="{992661AE-F75A-4B71-A9C8-5EEDB42541C4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4" name="Partial Circle 73">
            <a:extLst>
              <a:ext uri="{FF2B5EF4-FFF2-40B4-BE49-F238E27FC236}">
                <a16:creationId xmlns:a16="http://schemas.microsoft.com/office/drawing/2014/main" id="{2EE747F6-FB0B-4669-B204-076D79BE62CB}"/>
              </a:ext>
            </a:extLst>
          </xdr:cNvPr>
          <xdr:cNvSpPr>
            <a:spLocks noChangeAspect="1"/>
          </xdr:cNvSpPr>
        </xdr:nvSpPr>
        <xdr:spPr>
          <a:xfrm rot="17280000"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1" name="Partial Circle 90">
            <a:extLst>
              <a:ext uri="{FF2B5EF4-FFF2-40B4-BE49-F238E27FC236}">
                <a16:creationId xmlns:a16="http://schemas.microsoft.com/office/drawing/2014/main" id="{2C23C1EE-7B17-4F17-B698-5AD70BDAE890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0" name="Partial Circle 89">
            <a:extLst>
              <a:ext uri="{FF2B5EF4-FFF2-40B4-BE49-F238E27FC236}">
                <a16:creationId xmlns:a16="http://schemas.microsoft.com/office/drawing/2014/main" id="{B1338DFB-41D5-4738-82D0-7629B68DCDF2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9" name="Partial Circle 88">
            <a:extLst>
              <a:ext uri="{FF2B5EF4-FFF2-40B4-BE49-F238E27FC236}">
                <a16:creationId xmlns:a16="http://schemas.microsoft.com/office/drawing/2014/main" id="{95EA9EBA-1785-4459-ACE3-EF3EE1F7087E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8" name="Partial Circle 87">
            <a:extLst>
              <a:ext uri="{FF2B5EF4-FFF2-40B4-BE49-F238E27FC236}">
                <a16:creationId xmlns:a16="http://schemas.microsoft.com/office/drawing/2014/main" id="{18E715D8-5E16-44DE-AB44-98115ED9DD58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7" name="Partial Circle 86">
            <a:extLst>
              <a:ext uri="{FF2B5EF4-FFF2-40B4-BE49-F238E27FC236}">
                <a16:creationId xmlns:a16="http://schemas.microsoft.com/office/drawing/2014/main" id="{55DB2F95-209C-4CBE-860E-0FFFB8E1BD12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6" name="Partial Circle 85">
            <a:extLst>
              <a:ext uri="{FF2B5EF4-FFF2-40B4-BE49-F238E27FC236}">
                <a16:creationId xmlns:a16="http://schemas.microsoft.com/office/drawing/2014/main" id="{BF51F167-322F-4C6D-B5FE-A86A2EF9AB47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5" name="Partial Circle 84">
            <a:extLst>
              <a:ext uri="{FF2B5EF4-FFF2-40B4-BE49-F238E27FC236}">
                <a16:creationId xmlns:a16="http://schemas.microsoft.com/office/drawing/2014/main" id="{7B54CA2F-8536-4C45-8A62-4670F63C20BC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4" name="Partial Circle 83">
            <a:extLst>
              <a:ext uri="{FF2B5EF4-FFF2-40B4-BE49-F238E27FC236}">
                <a16:creationId xmlns:a16="http://schemas.microsoft.com/office/drawing/2014/main" id="{1CE669D8-9DBF-452E-9FB4-8D3AB29D91F6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3" name="Partial Circle 82">
            <a:extLst>
              <a:ext uri="{FF2B5EF4-FFF2-40B4-BE49-F238E27FC236}">
                <a16:creationId xmlns:a16="http://schemas.microsoft.com/office/drawing/2014/main" id="{6CDDC4B9-731A-427B-9474-4BD4DE5FAA73}"/>
              </a:ext>
            </a:extLst>
          </xdr:cNvPr>
          <xdr:cNvSpPr>
            <a:spLocks noChangeAspect="1"/>
          </xdr:cNvSpPr>
        </xdr:nvSpPr>
        <xdr:spPr>
          <a:xfrm rot="1944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7" name="Partial Circle 16">
            <a:extLst>
              <a:ext uri="{FF2B5EF4-FFF2-40B4-BE49-F238E27FC236}">
                <a16:creationId xmlns:a16="http://schemas.microsoft.com/office/drawing/2014/main" id="{DD6EDADB-73FE-4D89-AECD-4F99ECA93639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6" name="Partial Circle 15">
            <a:extLst>
              <a:ext uri="{FF2B5EF4-FFF2-40B4-BE49-F238E27FC236}">
                <a16:creationId xmlns:a16="http://schemas.microsoft.com/office/drawing/2014/main" id="{1BA746E2-2BFF-405C-8EEE-A74C88262613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5" name="Partial Circle 14">
            <a:extLst>
              <a:ext uri="{FF2B5EF4-FFF2-40B4-BE49-F238E27FC236}">
                <a16:creationId xmlns:a16="http://schemas.microsoft.com/office/drawing/2014/main" id="{ECD95C52-BE03-4BED-AB59-198E158D8E69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4" name="Partial Circle 13">
            <a:extLst>
              <a:ext uri="{FF2B5EF4-FFF2-40B4-BE49-F238E27FC236}">
                <a16:creationId xmlns:a16="http://schemas.microsoft.com/office/drawing/2014/main" id="{2A355D5A-B1F9-4606-ADD9-3EA5F07EF8D8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" name="Partial Circle 12">
            <a:extLst>
              <a:ext uri="{FF2B5EF4-FFF2-40B4-BE49-F238E27FC236}">
                <a16:creationId xmlns:a16="http://schemas.microsoft.com/office/drawing/2014/main" id="{3BCF5097-45FC-4BF5-B8B2-2AFD078FE6C1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2" name="Partial Circle 11">
            <a:extLst>
              <a:ext uri="{FF2B5EF4-FFF2-40B4-BE49-F238E27FC236}">
                <a16:creationId xmlns:a16="http://schemas.microsoft.com/office/drawing/2014/main" id="{A1234EBE-127C-479F-B0D2-1B4E2D520156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Partial Circle 10">
            <a:extLst>
              <a:ext uri="{FF2B5EF4-FFF2-40B4-BE49-F238E27FC236}">
                <a16:creationId xmlns:a16="http://schemas.microsoft.com/office/drawing/2014/main" id="{5A7AA127-03D9-4763-9B5A-F159B7964CE3}"/>
              </a:ext>
            </a:extLst>
          </xdr:cNvPr>
          <xdr:cNvSpPr>
            <a:spLocks noChangeAspect="1"/>
          </xdr:cNvSpPr>
        </xdr:nvSpPr>
        <xdr:spPr>
          <a:xfrm rot="2160000">
            <a:off x="0" y="0"/>
            <a:ext cx="2147011200" cy="21470112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0" name="Partial Circle 9">
            <a:extLst>
              <a:ext uri="{FF2B5EF4-FFF2-40B4-BE49-F238E27FC236}">
                <a16:creationId xmlns:a16="http://schemas.microsoft.com/office/drawing/2014/main" id="{44FB2595-0A7B-4B32-81C1-AF3D41535DF5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" name="Partial Circle 8">
            <a:extLst>
              <a:ext uri="{FF2B5EF4-FFF2-40B4-BE49-F238E27FC236}">
                <a16:creationId xmlns:a16="http://schemas.microsoft.com/office/drawing/2014/main" id="{1A764260-7925-4042-AF90-5CEE480B0BC0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8" name="Partial Circle 7">
            <a:extLst>
              <a:ext uri="{FF2B5EF4-FFF2-40B4-BE49-F238E27FC236}">
                <a16:creationId xmlns:a16="http://schemas.microsoft.com/office/drawing/2014/main" id="{C1F4A9A1-5E9F-4A93-8FC7-461892746F8F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7" name="Partial Circle 6">
            <a:extLst>
              <a:ext uri="{FF2B5EF4-FFF2-40B4-BE49-F238E27FC236}">
                <a16:creationId xmlns:a16="http://schemas.microsoft.com/office/drawing/2014/main" id="{A28FAC9F-DB00-46A8-A0C1-D3571B394ED9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6" name="Partial Circle 5">
            <a:extLst>
              <a:ext uri="{FF2B5EF4-FFF2-40B4-BE49-F238E27FC236}">
                <a16:creationId xmlns:a16="http://schemas.microsoft.com/office/drawing/2014/main" id="{DDA982E0-C216-4ED8-B580-73A338139F73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" name="Partial Circle 4">
            <a:extLst>
              <a:ext uri="{FF2B5EF4-FFF2-40B4-BE49-F238E27FC236}">
                <a16:creationId xmlns:a16="http://schemas.microsoft.com/office/drawing/2014/main" id="{9457AE79-4B71-4BF6-B4CB-61CD8723559F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" name="Partial Circle 3">
            <a:extLst>
              <a:ext uri="{FF2B5EF4-FFF2-40B4-BE49-F238E27FC236}">
                <a16:creationId xmlns:a16="http://schemas.microsoft.com/office/drawing/2014/main" id="{53C0773F-B9ED-4730-AE52-00E3D709731D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3" name="Partial Circle 2">
            <a:extLst>
              <a:ext uri="{FF2B5EF4-FFF2-40B4-BE49-F238E27FC236}">
                <a16:creationId xmlns:a16="http://schemas.microsoft.com/office/drawing/2014/main" id="{868B6093-AB6E-4948-BDC0-95533308C0BD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" name="Partial Circle 1">
            <a:extLst>
              <a:ext uri="{FF2B5EF4-FFF2-40B4-BE49-F238E27FC236}">
                <a16:creationId xmlns:a16="http://schemas.microsoft.com/office/drawing/2014/main" id="{55870E33-ECAA-4C34-BD08-3DF5E4C91220}"/>
              </a:ext>
            </a:extLst>
          </xdr:cNvPr>
          <xdr:cNvSpPr>
            <a:spLocks noChangeAspect="1"/>
          </xdr:cNvSpPr>
        </xdr:nvSpPr>
        <xdr:spPr>
          <a:xfrm>
            <a:off x="1072553100" y="1072553100"/>
            <a:ext cx="1905000" cy="1905000"/>
          </a:xfrm>
          <a:prstGeom prst="pie">
            <a:avLst>
              <a:gd name="adj1" fmla="val 16200000"/>
              <a:gd name="adj2" fmla="val 18360000"/>
            </a:avLst>
          </a:prstGeom>
          <a:solidFill>
            <a:srgbClr val="FFFFFF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92" name="Flowchart: Connector 91">
            <a:extLst>
              <a:ext uri="{FF2B5EF4-FFF2-40B4-BE49-F238E27FC236}">
                <a16:creationId xmlns:a16="http://schemas.microsoft.com/office/drawing/2014/main" id="{7722881E-11EA-4A14-89CA-FC81F26C39C0}"/>
              </a:ext>
            </a:extLst>
          </xdr:cNvPr>
          <xdr:cNvSpPr/>
        </xdr:nvSpPr>
        <xdr:spPr>
          <a:xfrm>
            <a:off x="1071473600" y="1071473600"/>
            <a:ext cx="4064000" cy="4064000"/>
          </a:xfrm>
          <a:prstGeom prst="flowChartConnector">
            <a:avLst/>
          </a:prstGeom>
          <a:noFill/>
          <a:ln w="50800" cap="flat" cmpd="sng" algn="ctr">
            <a:solidFill>
              <a:srgbClr val="FFFFFF"/>
            </a:solidFill>
            <a:prstDash val="solid"/>
            <a:miter lim="800000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Arc 92">
            <a:extLst>
              <a:ext uri="{FF2B5EF4-FFF2-40B4-BE49-F238E27FC236}">
                <a16:creationId xmlns:a16="http://schemas.microsoft.com/office/drawing/2014/main" id="{5267B8C9-EFF4-4CA7-8141-D9B8BF65E3B0}"/>
              </a:ext>
            </a:extLst>
          </xdr:cNvPr>
          <xdr:cNvSpPr/>
        </xdr:nvSpPr>
        <xdr:spPr>
          <a:xfrm>
            <a:off x="1072997600" y="1072997600"/>
            <a:ext cx="1016000" cy="1016000"/>
          </a:xfrm>
          <a:prstGeom prst="arc">
            <a:avLst>
              <a:gd name="adj1" fmla="val 16200000"/>
              <a:gd name="adj2" fmla="val 16200000"/>
            </a:avLst>
          </a:prstGeom>
          <a:solidFill>
            <a:srgbClr val="FFFFFF"/>
          </a:solidFill>
          <a:ln w="50800">
            <a:solidFill>
              <a:srgbClr val="32323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101059</xdr:colOff>
      <xdr:row>16</xdr:row>
      <xdr:rowOff>111830</xdr:rowOff>
    </xdr:from>
    <xdr:to>
      <xdr:col>14</xdr:col>
      <xdr:colOff>408581</xdr:colOff>
      <xdr:row>56</xdr:row>
      <xdr:rowOff>111830</xdr:rowOff>
    </xdr:to>
    <xdr:grpSp>
      <xdr:nvGrpSpPr>
        <xdr:cNvPr id="2757" name="group1">
          <a:extLst>
            <a:ext uri="{FF2B5EF4-FFF2-40B4-BE49-F238E27FC236}">
              <a16:creationId xmlns:a16="http://schemas.microsoft.com/office/drawing/2014/main" id="{2E63EC7E-C9F4-4F2B-AC37-9E1104103904}"/>
            </a:ext>
          </a:extLst>
        </xdr:cNvPr>
        <xdr:cNvGrpSpPr/>
      </xdr:nvGrpSpPr>
      <xdr:grpSpPr>
        <a:xfrm>
          <a:off x="2550345" y="3173437"/>
          <a:ext cx="7655379" cy="7620000"/>
          <a:chOff x="495668" y="1414033"/>
          <a:chExt cx="7620000" cy="7620000"/>
        </a:xfrm>
      </xdr:grpSpPr>
      <xdr:sp macro="" textlink="">
        <xdr:nvSpPr>
          <xdr:cNvPr id="2722" name="Partial Circle 2721">
            <a:extLst>
              <a:ext uri="{FF2B5EF4-FFF2-40B4-BE49-F238E27FC236}">
                <a16:creationId xmlns:a16="http://schemas.microsoft.com/office/drawing/2014/main" id="{9EBA9080-3E2E-422C-9E9C-5005DF812FD1}"/>
              </a:ext>
            </a:extLst>
          </xdr:cNvPr>
          <xdr:cNvSpPr>
            <a:spLocks noChangeAspect="1"/>
          </xdr:cNvSpPr>
        </xdr:nvSpPr>
        <xdr:spPr>
          <a:xfrm>
            <a:off x="3197617" y="4115981"/>
            <a:ext cx="2216103" cy="2216103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1" name="Partial Circle 2720">
            <a:extLst>
              <a:ext uri="{FF2B5EF4-FFF2-40B4-BE49-F238E27FC236}">
                <a16:creationId xmlns:a16="http://schemas.microsoft.com/office/drawing/2014/main" id="{ECB1B716-12BB-4C8F-9A75-28E4700EBF95}"/>
              </a:ext>
            </a:extLst>
          </xdr:cNvPr>
          <xdr:cNvSpPr>
            <a:spLocks noChangeAspect="1"/>
          </xdr:cNvSpPr>
        </xdr:nvSpPr>
        <xdr:spPr>
          <a:xfrm>
            <a:off x="3213850" y="4132214"/>
            <a:ext cx="2183636" cy="2183636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0" name="Partial Circle 2719">
            <a:extLst>
              <a:ext uri="{FF2B5EF4-FFF2-40B4-BE49-F238E27FC236}">
                <a16:creationId xmlns:a16="http://schemas.microsoft.com/office/drawing/2014/main" id="{CD2A6E3D-82D3-491A-98BF-F969CF0697F0}"/>
              </a:ext>
            </a:extLst>
          </xdr:cNvPr>
          <xdr:cNvSpPr>
            <a:spLocks noChangeAspect="1"/>
          </xdr:cNvSpPr>
        </xdr:nvSpPr>
        <xdr:spPr>
          <a:xfrm>
            <a:off x="3213850" y="4132214"/>
            <a:ext cx="2183636" cy="2183636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Apr'54</a:t>
            </a:r>
          </a:p>
        </xdr:txBody>
      </xdr:sp>
      <xdr:sp macro="" textlink="">
        <xdr:nvSpPr>
          <xdr:cNvPr id="2725" name="Partial Circle 2724">
            <a:extLst>
              <a:ext uri="{FF2B5EF4-FFF2-40B4-BE49-F238E27FC236}">
                <a16:creationId xmlns:a16="http://schemas.microsoft.com/office/drawing/2014/main" id="{C1FC4766-BCA6-4985-B61B-C662E2386D27}"/>
              </a:ext>
            </a:extLst>
          </xdr:cNvPr>
          <xdr:cNvSpPr>
            <a:spLocks noChangeAspect="1"/>
          </xdr:cNvSpPr>
        </xdr:nvSpPr>
        <xdr:spPr>
          <a:xfrm rot="1800000">
            <a:off x="3192051" y="4110415"/>
            <a:ext cx="2227235" cy="2227235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4" name="Partial Circle 2723">
            <a:extLst>
              <a:ext uri="{FF2B5EF4-FFF2-40B4-BE49-F238E27FC236}">
                <a16:creationId xmlns:a16="http://schemas.microsoft.com/office/drawing/2014/main" id="{683C9F61-B610-423E-AB05-0B21F6C55421}"/>
              </a:ext>
            </a:extLst>
          </xdr:cNvPr>
          <xdr:cNvSpPr>
            <a:spLocks noChangeAspect="1"/>
          </xdr:cNvSpPr>
        </xdr:nvSpPr>
        <xdr:spPr>
          <a:xfrm rot="1800000">
            <a:off x="3202719" y="4121083"/>
            <a:ext cx="2205899" cy="220589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3" name="Partial Circle 2722">
            <a:extLst>
              <a:ext uri="{FF2B5EF4-FFF2-40B4-BE49-F238E27FC236}">
                <a16:creationId xmlns:a16="http://schemas.microsoft.com/office/drawing/2014/main" id="{2D4AF108-2A41-414B-8EDD-E38815664AC4}"/>
              </a:ext>
            </a:extLst>
          </xdr:cNvPr>
          <xdr:cNvSpPr>
            <a:spLocks noChangeAspect="1"/>
          </xdr:cNvSpPr>
        </xdr:nvSpPr>
        <xdr:spPr>
          <a:xfrm rot="1800000">
            <a:off x="3202719" y="4121083"/>
            <a:ext cx="2205899" cy="220589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May'54</a:t>
            </a:r>
          </a:p>
        </xdr:txBody>
      </xdr:sp>
      <xdr:sp macro="" textlink="">
        <xdr:nvSpPr>
          <xdr:cNvPr id="2728" name="Partial Circle 2727">
            <a:extLst>
              <a:ext uri="{FF2B5EF4-FFF2-40B4-BE49-F238E27FC236}">
                <a16:creationId xmlns:a16="http://schemas.microsoft.com/office/drawing/2014/main" id="{49FAB53F-9555-48EA-9854-11830CFA0F9A}"/>
              </a:ext>
            </a:extLst>
          </xdr:cNvPr>
          <xdr:cNvSpPr>
            <a:spLocks noChangeAspect="1"/>
          </xdr:cNvSpPr>
        </xdr:nvSpPr>
        <xdr:spPr>
          <a:xfrm rot="3600000">
            <a:off x="3200399" y="4118763"/>
            <a:ext cx="2210538" cy="221053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7" name="Partial Circle 2726">
            <a:extLst>
              <a:ext uri="{FF2B5EF4-FFF2-40B4-BE49-F238E27FC236}">
                <a16:creationId xmlns:a16="http://schemas.microsoft.com/office/drawing/2014/main" id="{00CCF4C9-834F-4636-B686-F289AC4F3E0B}"/>
              </a:ext>
            </a:extLst>
          </xdr:cNvPr>
          <xdr:cNvSpPr>
            <a:spLocks noChangeAspect="1"/>
          </xdr:cNvSpPr>
        </xdr:nvSpPr>
        <xdr:spPr>
          <a:xfrm rot="3600000">
            <a:off x="3206197" y="4124561"/>
            <a:ext cx="2198942" cy="2198942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6" name="Partial Circle 2725">
            <a:extLst>
              <a:ext uri="{FF2B5EF4-FFF2-40B4-BE49-F238E27FC236}">
                <a16:creationId xmlns:a16="http://schemas.microsoft.com/office/drawing/2014/main" id="{689052F9-0C22-48E8-9038-120DA59CCB47}"/>
              </a:ext>
            </a:extLst>
          </xdr:cNvPr>
          <xdr:cNvSpPr>
            <a:spLocks noChangeAspect="1"/>
          </xdr:cNvSpPr>
        </xdr:nvSpPr>
        <xdr:spPr>
          <a:xfrm rot="3600000">
            <a:off x="3206197" y="4124561"/>
            <a:ext cx="2198942" cy="2198942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Jun'54</a:t>
            </a:r>
          </a:p>
        </xdr:txBody>
      </xdr:sp>
      <xdr:sp macro="" textlink="">
        <xdr:nvSpPr>
          <xdr:cNvPr id="2731" name="Partial Circle 2730">
            <a:extLst>
              <a:ext uri="{FF2B5EF4-FFF2-40B4-BE49-F238E27FC236}">
                <a16:creationId xmlns:a16="http://schemas.microsoft.com/office/drawing/2014/main" id="{9821F796-4FF5-4E2F-86A0-4A616E2997F5}"/>
              </a:ext>
            </a:extLst>
          </xdr:cNvPr>
          <xdr:cNvSpPr>
            <a:spLocks noChangeAspect="1"/>
          </xdr:cNvSpPr>
        </xdr:nvSpPr>
        <xdr:spPr>
          <a:xfrm rot="5400000">
            <a:off x="2846973" y="3765337"/>
            <a:ext cx="2917390" cy="291739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0" name="Partial Circle 2729">
            <a:extLst>
              <a:ext uri="{FF2B5EF4-FFF2-40B4-BE49-F238E27FC236}">
                <a16:creationId xmlns:a16="http://schemas.microsoft.com/office/drawing/2014/main" id="{9161A49A-741A-4450-86BF-F2EDAF5E9B1A}"/>
              </a:ext>
            </a:extLst>
          </xdr:cNvPr>
          <xdr:cNvSpPr>
            <a:spLocks noChangeAspect="1"/>
          </xdr:cNvSpPr>
        </xdr:nvSpPr>
        <xdr:spPr>
          <a:xfrm rot="5400000">
            <a:off x="2869236" y="3787600"/>
            <a:ext cx="2872864" cy="2872864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29" name="Partial Circle 2728">
            <a:extLst>
              <a:ext uri="{FF2B5EF4-FFF2-40B4-BE49-F238E27FC236}">
                <a16:creationId xmlns:a16="http://schemas.microsoft.com/office/drawing/2014/main" id="{708DA946-78D1-406E-9F7F-B2EEA20CFF96}"/>
              </a:ext>
            </a:extLst>
          </xdr:cNvPr>
          <xdr:cNvSpPr>
            <a:spLocks noChangeAspect="1"/>
          </xdr:cNvSpPr>
        </xdr:nvSpPr>
        <xdr:spPr>
          <a:xfrm rot="5400000">
            <a:off x="2869236" y="3787600"/>
            <a:ext cx="2872864" cy="2872864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Jul'54</a:t>
            </a:r>
          </a:p>
        </xdr:txBody>
      </xdr:sp>
      <xdr:sp macro="" textlink="">
        <xdr:nvSpPr>
          <xdr:cNvPr id="2734" name="Partial Circle 2733">
            <a:extLst>
              <a:ext uri="{FF2B5EF4-FFF2-40B4-BE49-F238E27FC236}">
                <a16:creationId xmlns:a16="http://schemas.microsoft.com/office/drawing/2014/main" id="{8B85F39E-859F-4A2B-9CD3-F2E117094E76}"/>
              </a:ext>
            </a:extLst>
          </xdr:cNvPr>
          <xdr:cNvSpPr>
            <a:spLocks noChangeAspect="1"/>
          </xdr:cNvSpPr>
        </xdr:nvSpPr>
        <xdr:spPr>
          <a:xfrm rot="7200000">
            <a:off x="2426758" y="3345122"/>
            <a:ext cx="3757821" cy="3757821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3" name="Partial Circle 2732">
            <a:extLst>
              <a:ext uri="{FF2B5EF4-FFF2-40B4-BE49-F238E27FC236}">
                <a16:creationId xmlns:a16="http://schemas.microsoft.com/office/drawing/2014/main" id="{C8A4C742-F111-43F4-8210-D2BD15E1A6C9}"/>
              </a:ext>
            </a:extLst>
          </xdr:cNvPr>
          <xdr:cNvSpPr>
            <a:spLocks noChangeAspect="1"/>
          </xdr:cNvSpPr>
        </xdr:nvSpPr>
        <xdr:spPr>
          <a:xfrm rot="7200000">
            <a:off x="2454355" y="3372719"/>
            <a:ext cx="3702627" cy="370262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2" name="Partial Circle 2731">
            <a:extLst>
              <a:ext uri="{FF2B5EF4-FFF2-40B4-BE49-F238E27FC236}">
                <a16:creationId xmlns:a16="http://schemas.microsoft.com/office/drawing/2014/main" id="{9234EB7F-AF3A-4076-B83C-3B16C3FA0D63}"/>
              </a:ext>
            </a:extLst>
          </xdr:cNvPr>
          <xdr:cNvSpPr>
            <a:spLocks noChangeAspect="1"/>
          </xdr:cNvSpPr>
        </xdr:nvSpPr>
        <xdr:spPr>
          <a:xfrm rot="7200000">
            <a:off x="2455282" y="3373646"/>
            <a:ext cx="3700772" cy="3700772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Aug'54</a:t>
            </a:r>
          </a:p>
        </xdr:txBody>
      </xdr:sp>
      <xdr:sp macro="" textlink="">
        <xdr:nvSpPr>
          <xdr:cNvPr id="2737" name="Partial Circle 2736">
            <a:extLst>
              <a:ext uri="{FF2B5EF4-FFF2-40B4-BE49-F238E27FC236}">
                <a16:creationId xmlns:a16="http://schemas.microsoft.com/office/drawing/2014/main" id="{E7159A9F-1961-436C-851B-B006E2BB6110}"/>
              </a:ext>
            </a:extLst>
          </xdr:cNvPr>
          <xdr:cNvSpPr>
            <a:spLocks noChangeAspect="1"/>
          </xdr:cNvSpPr>
        </xdr:nvSpPr>
        <xdr:spPr>
          <a:xfrm rot="9000000">
            <a:off x="2354403" y="3272767"/>
            <a:ext cx="3902531" cy="3902531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6" name="Partial Circle 2735">
            <a:extLst>
              <a:ext uri="{FF2B5EF4-FFF2-40B4-BE49-F238E27FC236}">
                <a16:creationId xmlns:a16="http://schemas.microsoft.com/office/drawing/2014/main" id="{4B5FF975-080C-41F6-AD35-08CC6D765F80}"/>
              </a:ext>
            </a:extLst>
          </xdr:cNvPr>
          <xdr:cNvSpPr>
            <a:spLocks noChangeAspect="1"/>
          </xdr:cNvSpPr>
        </xdr:nvSpPr>
        <xdr:spPr>
          <a:xfrm rot="9000000">
            <a:off x="2418641" y="3337005"/>
            <a:ext cx="3774054" cy="3774054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5" name="Partial Circle 2734">
            <a:extLst>
              <a:ext uri="{FF2B5EF4-FFF2-40B4-BE49-F238E27FC236}">
                <a16:creationId xmlns:a16="http://schemas.microsoft.com/office/drawing/2014/main" id="{79605F3A-7962-4FAF-B25B-5F2640611F77}"/>
              </a:ext>
            </a:extLst>
          </xdr:cNvPr>
          <xdr:cNvSpPr>
            <a:spLocks noChangeAspect="1"/>
          </xdr:cNvSpPr>
        </xdr:nvSpPr>
        <xdr:spPr>
          <a:xfrm rot="9000000">
            <a:off x="2493083" y="3411447"/>
            <a:ext cx="3625170" cy="362517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Sep'54</a:t>
            </a:r>
          </a:p>
        </xdr:txBody>
      </xdr:sp>
      <xdr:sp macro="" textlink="">
        <xdr:nvSpPr>
          <xdr:cNvPr id="2740" name="Partial Circle 2739">
            <a:extLst>
              <a:ext uri="{FF2B5EF4-FFF2-40B4-BE49-F238E27FC236}">
                <a16:creationId xmlns:a16="http://schemas.microsoft.com/office/drawing/2014/main" id="{314A6ADA-64BD-4374-8D5E-A473F2A8D896}"/>
              </a:ext>
            </a:extLst>
          </xdr:cNvPr>
          <xdr:cNvSpPr>
            <a:spLocks noChangeAspect="1"/>
          </xdr:cNvSpPr>
        </xdr:nvSpPr>
        <xdr:spPr>
          <a:xfrm rot="10800000">
            <a:off x="2524159" y="3442522"/>
            <a:ext cx="3563019" cy="356301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9" name="Partial Circle 2738">
            <a:extLst>
              <a:ext uri="{FF2B5EF4-FFF2-40B4-BE49-F238E27FC236}">
                <a16:creationId xmlns:a16="http://schemas.microsoft.com/office/drawing/2014/main" id="{5B68D032-A494-4E87-B001-FE2B3EEA799F}"/>
              </a:ext>
            </a:extLst>
          </xdr:cNvPr>
          <xdr:cNvSpPr>
            <a:spLocks noChangeAspect="1"/>
          </xdr:cNvSpPr>
        </xdr:nvSpPr>
        <xdr:spPr>
          <a:xfrm rot="10800000">
            <a:off x="2640345" y="3558708"/>
            <a:ext cx="3330648" cy="333064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38" name="Partial Circle 2737">
            <a:extLst>
              <a:ext uri="{FF2B5EF4-FFF2-40B4-BE49-F238E27FC236}">
                <a16:creationId xmlns:a16="http://schemas.microsoft.com/office/drawing/2014/main" id="{A8731538-2CA9-414E-97C1-EDD01D7AAD7F}"/>
              </a:ext>
            </a:extLst>
          </xdr:cNvPr>
          <xdr:cNvSpPr>
            <a:spLocks noChangeAspect="1"/>
          </xdr:cNvSpPr>
        </xdr:nvSpPr>
        <xdr:spPr>
          <a:xfrm rot="10800000">
            <a:off x="2760241" y="3678604"/>
            <a:ext cx="3090856" cy="3090856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Oct'54</a:t>
            </a:r>
          </a:p>
        </xdr:txBody>
      </xdr:sp>
      <xdr:sp macro="" textlink="">
        <xdr:nvSpPr>
          <xdr:cNvPr id="2743" name="Partial Circle 2742">
            <a:extLst>
              <a:ext uri="{FF2B5EF4-FFF2-40B4-BE49-F238E27FC236}">
                <a16:creationId xmlns:a16="http://schemas.microsoft.com/office/drawing/2014/main" id="{002A1B13-41B0-41DC-9520-024517364E62}"/>
              </a:ext>
            </a:extLst>
          </xdr:cNvPr>
          <xdr:cNvSpPr>
            <a:spLocks noChangeAspect="1"/>
          </xdr:cNvSpPr>
        </xdr:nvSpPr>
        <xdr:spPr>
          <a:xfrm rot="12600000">
            <a:off x="2059417" y="2977781"/>
            <a:ext cx="4492502" cy="4492502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42" name="Partial Circle 2741">
            <a:extLst>
              <a:ext uri="{FF2B5EF4-FFF2-40B4-BE49-F238E27FC236}">
                <a16:creationId xmlns:a16="http://schemas.microsoft.com/office/drawing/2014/main" id="{3AA8397F-8E9A-4116-9377-02C285121902}"/>
              </a:ext>
            </a:extLst>
          </xdr:cNvPr>
          <xdr:cNvSpPr>
            <a:spLocks noChangeAspect="1"/>
          </xdr:cNvSpPr>
        </xdr:nvSpPr>
        <xdr:spPr>
          <a:xfrm rot="12600000">
            <a:off x="2158673" y="3077037"/>
            <a:ext cx="4293990" cy="429399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41" name="Partial Circle 2740">
            <a:extLst>
              <a:ext uri="{FF2B5EF4-FFF2-40B4-BE49-F238E27FC236}">
                <a16:creationId xmlns:a16="http://schemas.microsoft.com/office/drawing/2014/main" id="{1C3C46CC-EA54-4BDA-BE77-77E8332CEC54}"/>
              </a:ext>
            </a:extLst>
          </xdr:cNvPr>
          <xdr:cNvSpPr>
            <a:spLocks noChangeAspect="1"/>
          </xdr:cNvSpPr>
        </xdr:nvSpPr>
        <xdr:spPr>
          <a:xfrm rot="12600000">
            <a:off x="2427222" y="3345586"/>
            <a:ext cx="3756893" cy="3756893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Nov'54</a:t>
            </a:r>
          </a:p>
        </xdr:txBody>
      </xdr:sp>
      <xdr:sp macro="" textlink="">
        <xdr:nvSpPr>
          <xdr:cNvPr id="2746" name="Partial Circle 2745">
            <a:extLst>
              <a:ext uri="{FF2B5EF4-FFF2-40B4-BE49-F238E27FC236}">
                <a16:creationId xmlns:a16="http://schemas.microsoft.com/office/drawing/2014/main" id="{C852E169-C425-4F8D-9434-051549DA25CE}"/>
              </a:ext>
            </a:extLst>
          </xdr:cNvPr>
          <xdr:cNvSpPr>
            <a:spLocks noChangeAspect="1"/>
          </xdr:cNvSpPr>
        </xdr:nvSpPr>
        <xdr:spPr>
          <a:xfrm rot="14400000">
            <a:off x="1544584" y="2462948"/>
            <a:ext cx="5522169" cy="552216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45" name="Partial Circle 2744">
            <a:extLst>
              <a:ext uri="{FF2B5EF4-FFF2-40B4-BE49-F238E27FC236}">
                <a16:creationId xmlns:a16="http://schemas.microsoft.com/office/drawing/2014/main" id="{3FEFB1E3-52D9-4CA1-B260-ADBBB056C92A}"/>
              </a:ext>
            </a:extLst>
          </xdr:cNvPr>
          <xdr:cNvSpPr>
            <a:spLocks noChangeAspect="1"/>
          </xdr:cNvSpPr>
        </xdr:nvSpPr>
        <xdr:spPr>
          <a:xfrm rot="14400000">
            <a:off x="1655899" y="2574263"/>
            <a:ext cx="5299538" cy="529953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44" name="Partial Circle 2743">
            <a:extLst>
              <a:ext uri="{FF2B5EF4-FFF2-40B4-BE49-F238E27FC236}">
                <a16:creationId xmlns:a16="http://schemas.microsoft.com/office/drawing/2014/main" id="{7B8D5C26-883A-4AE7-B3D4-3DBC8270404B}"/>
              </a:ext>
            </a:extLst>
          </xdr:cNvPr>
          <xdr:cNvSpPr>
            <a:spLocks noChangeAspect="1"/>
          </xdr:cNvSpPr>
        </xdr:nvSpPr>
        <xdr:spPr>
          <a:xfrm rot="14400000">
            <a:off x="1752604" y="2670968"/>
            <a:ext cx="5106128" cy="510612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        Dec'54</a:t>
            </a:r>
          </a:p>
        </xdr:txBody>
      </xdr:sp>
      <xdr:sp macro="" textlink="">
        <xdr:nvSpPr>
          <xdr:cNvPr id="2749" name="Partial Circle 2748">
            <a:extLst>
              <a:ext uri="{FF2B5EF4-FFF2-40B4-BE49-F238E27FC236}">
                <a16:creationId xmlns:a16="http://schemas.microsoft.com/office/drawing/2014/main" id="{D84D1B98-FD28-4F1C-A857-5809B446CEDC}"/>
              </a:ext>
            </a:extLst>
          </xdr:cNvPr>
          <xdr:cNvSpPr>
            <a:spLocks noChangeAspect="1"/>
          </xdr:cNvSpPr>
        </xdr:nvSpPr>
        <xdr:spPr>
          <a:xfrm rot="16200000">
            <a:off x="495668" y="1414033"/>
            <a:ext cx="7620000" cy="762000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48" name="Partial Circle 2747">
            <a:extLst>
              <a:ext uri="{FF2B5EF4-FFF2-40B4-BE49-F238E27FC236}">
                <a16:creationId xmlns:a16="http://schemas.microsoft.com/office/drawing/2014/main" id="{A4C81EF6-ACC4-4797-A4D4-9112852F090D}"/>
              </a:ext>
            </a:extLst>
          </xdr:cNvPr>
          <xdr:cNvSpPr>
            <a:spLocks noChangeAspect="1"/>
          </xdr:cNvSpPr>
        </xdr:nvSpPr>
        <xdr:spPr>
          <a:xfrm rot="16200000">
            <a:off x="773957" y="1692321"/>
            <a:ext cx="7063423" cy="7063423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47" name="Partial Circle 2746">
            <a:extLst>
              <a:ext uri="{FF2B5EF4-FFF2-40B4-BE49-F238E27FC236}">
                <a16:creationId xmlns:a16="http://schemas.microsoft.com/office/drawing/2014/main" id="{F7687E27-D949-4071-B247-19634BFC24C6}"/>
              </a:ext>
            </a:extLst>
          </xdr:cNvPr>
          <xdr:cNvSpPr>
            <a:spLocks noChangeAspect="1"/>
          </xdr:cNvSpPr>
        </xdr:nvSpPr>
        <xdr:spPr>
          <a:xfrm rot="16200000">
            <a:off x="845153" y="1763517"/>
            <a:ext cx="6921032" cy="6921032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                              Jan'55</a:t>
            </a:r>
          </a:p>
        </xdr:txBody>
      </xdr:sp>
      <xdr:sp macro="" textlink="">
        <xdr:nvSpPr>
          <xdr:cNvPr id="2752" name="Partial Circle 2751">
            <a:extLst>
              <a:ext uri="{FF2B5EF4-FFF2-40B4-BE49-F238E27FC236}">
                <a16:creationId xmlns:a16="http://schemas.microsoft.com/office/drawing/2014/main" id="{FE0750BD-6FCD-437B-BED8-51BE52A798EE}"/>
              </a:ext>
            </a:extLst>
          </xdr:cNvPr>
          <xdr:cNvSpPr>
            <a:spLocks noChangeAspect="1"/>
          </xdr:cNvSpPr>
        </xdr:nvSpPr>
        <xdr:spPr>
          <a:xfrm rot="18000000">
            <a:off x="946263" y="1864627"/>
            <a:ext cx="6718810" cy="671881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51" name="Partial Circle 2750">
            <a:extLst>
              <a:ext uri="{FF2B5EF4-FFF2-40B4-BE49-F238E27FC236}">
                <a16:creationId xmlns:a16="http://schemas.microsoft.com/office/drawing/2014/main" id="{3A121D79-3BC2-453E-8A11-10EE03F01AAC}"/>
              </a:ext>
            </a:extLst>
          </xdr:cNvPr>
          <xdr:cNvSpPr>
            <a:spLocks noChangeAspect="1"/>
          </xdr:cNvSpPr>
        </xdr:nvSpPr>
        <xdr:spPr>
          <a:xfrm rot="18000000">
            <a:off x="1271165" y="2189529"/>
            <a:ext cx="6069006" cy="6069006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50" name="Partial Circle 2749">
            <a:extLst>
              <a:ext uri="{FF2B5EF4-FFF2-40B4-BE49-F238E27FC236}">
                <a16:creationId xmlns:a16="http://schemas.microsoft.com/office/drawing/2014/main" id="{E6F144F3-D12F-4034-A946-E9742E938F4D}"/>
              </a:ext>
            </a:extLst>
          </xdr:cNvPr>
          <xdr:cNvSpPr>
            <a:spLocks noChangeAspect="1"/>
          </xdr:cNvSpPr>
        </xdr:nvSpPr>
        <xdr:spPr>
          <a:xfrm rot="18000000">
            <a:off x="1308966" y="2227330"/>
            <a:ext cx="5993404" cy="5993404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                   Feb'55</a:t>
            </a:r>
          </a:p>
        </xdr:txBody>
      </xdr:sp>
      <xdr:sp macro="" textlink="">
        <xdr:nvSpPr>
          <xdr:cNvPr id="2755" name="Partial Circle 2754">
            <a:extLst>
              <a:ext uri="{FF2B5EF4-FFF2-40B4-BE49-F238E27FC236}">
                <a16:creationId xmlns:a16="http://schemas.microsoft.com/office/drawing/2014/main" id="{212D20AF-E6E1-499A-8CDC-664D2E6D421D}"/>
              </a:ext>
            </a:extLst>
          </xdr:cNvPr>
          <xdr:cNvSpPr>
            <a:spLocks noChangeAspect="1"/>
          </xdr:cNvSpPr>
        </xdr:nvSpPr>
        <xdr:spPr>
          <a:xfrm rot="19800000">
            <a:off x="1914475" y="2832839"/>
            <a:ext cx="4782386" cy="4782386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54" name="Partial Circle 2753">
            <a:extLst>
              <a:ext uri="{FF2B5EF4-FFF2-40B4-BE49-F238E27FC236}">
                <a16:creationId xmlns:a16="http://schemas.microsoft.com/office/drawing/2014/main" id="{2AFA3853-3A78-48D1-AF11-CE7F4236DD4A}"/>
              </a:ext>
            </a:extLst>
          </xdr:cNvPr>
          <xdr:cNvSpPr>
            <a:spLocks noChangeAspect="1"/>
          </xdr:cNvSpPr>
        </xdr:nvSpPr>
        <xdr:spPr>
          <a:xfrm rot="19800000">
            <a:off x="2073563" y="2991927"/>
            <a:ext cx="4464210" cy="446421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2753" name="Partial Circle 2752">
            <a:extLst>
              <a:ext uri="{FF2B5EF4-FFF2-40B4-BE49-F238E27FC236}">
                <a16:creationId xmlns:a16="http://schemas.microsoft.com/office/drawing/2014/main" id="{4354BC24-27D0-4C3D-BCD0-0FE10EE965D5}"/>
              </a:ext>
            </a:extLst>
          </xdr:cNvPr>
          <xdr:cNvSpPr>
            <a:spLocks noChangeAspect="1"/>
          </xdr:cNvSpPr>
        </xdr:nvSpPr>
        <xdr:spPr>
          <a:xfrm rot="19800000">
            <a:off x="2103247" y="3021611"/>
            <a:ext cx="4404842" cy="4404842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>
            <a:solidFill>
              <a:srgbClr val="80808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Mar'55</a:t>
            </a:r>
          </a:p>
        </xdr:txBody>
      </xdr:sp>
    </xdr:grp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8444</xdr:colOff>
      <xdr:row>0</xdr:row>
      <xdr:rowOff>-374762206</xdr:rowOff>
    </xdr:to>
    <xdr:sp macro="" textlink="">
      <xdr:nvSpPr>
        <xdr:cNvPr id="1205" name="Partial Circle 1204">
          <a:extLst>
            <a:ext uri="{FF2B5EF4-FFF2-40B4-BE49-F238E27FC236}">
              <a16:creationId xmlns:a16="http://schemas.microsoft.com/office/drawing/2014/main" id="{F1A81005-2D0A-4C4C-91F3-1834D916C3AB}"/>
            </a:ext>
          </a:extLst>
        </xdr:cNvPr>
        <xdr:cNvSpPr>
          <a:spLocks noChangeAspect="1"/>
        </xdr:cNvSpPr>
      </xdr:nvSpPr>
      <xdr:spPr>
        <a:xfrm>
          <a:off x="2549" y="-441890776"/>
          <a:ext cx="5895" cy="6712857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2549</xdr:colOff>
      <xdr:row>0</xdr:row>
      <xdr:rowOff>-438262204</xdr:rowOff>
    </xdr:to>
    <xdr:sp macro="" textlink="">
      <xdr:nvSpPr>
        <xdr:cNvPr id="1204" name="Partial Circle 1203">
          <a:extLst>
            <a:ext uri="{FF2B5EF4-FFF2-40B4-BE49-F238E27FC236}">
              <a16:creationId xmlns:a16="http://schemas.microsoft.com/office/drawing/2014/main" id="{1883B816-C08F-4CAA-8E6F-88C89351357A}"/>
            </a:ext>
          </a:extLst>
        </xdr:cNvPr>
        <xdr:cNvSpPr>
          <a:spLocks noChangeAspect="1"/>
        </xdr:cNvSpPr>
      </xdr:nvSpPr>
      <xdr:spPr>
        <a:xfrm>
          <a:off x="2549" y="-441890776"/>
          <a:ext cx="0" cy="3628572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5270</xdr:colOff>
      <xdr:row>0</xdr:row>
      <xdr:rowOff>-425562205</xdr:rowOff>
    </xdr:to>
    <xdr:sp macro="" textlink="">
      <xdr:nvSpPr>
        <xdr:cNvPr id="1203" name="Partial Circle 1202">
          <a:extLst>
            <a:ext uri="{FF2B5EF4-FFF2-40B4-BE49-F238E27FC236}">
              <a16:creationId xmlns:a16="http://schemas.microsoft.com/office/drawing/2014/main" id="{BCBB463C-8756-4341-8627-19C0D4998C20}"/>
            </a:ext>
          </a:extLst>
        </xdr:cNvPr>
        <xdr:cNvSpPr>
          <a:spLocks noChangeAspect="1"/>
        </xdr:cNvSpPr>
      </xdr:nvSpPr>
      <xdr:spPr>
        <a:xfrm>
          <a:off x="2549" y="-441890776"/>
          <a:ext cx="2721" cy="16328571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8899</xdr:colOff>
      <xdr:row>0</xdr:row>
      <xdr:rowOff>-435540776</xdr:rowOff>
    </xdr:to>
    <xdr:sp macro="" textlink="">
      <xdr:nvSpPr>
        <xdr:cNvPr id="1202" name="Partial Circle 1201">
          <a:extLst>
            <a:ext uri="{FF2B5EF4-FFF2-40B4-BE49-F238E27FC236}">
              <a16:creationId xmlns:a16="http://schemas.microsoft.com/office/drawing/2014/main" id="{DA76A89E-5FC2-47DA-BE12-922A5EBF9E4F}"/>
            </a:ext>
          </a:extLst>
        </xdr:cNvPr>
        <xdr:cNvSpPr>
          <a:spLocks noChangeAspect="1"/>
        </xdr:cNvSpPr>
      </xdr:nvSpPr>
      <xdr:spPr>
        <a:xfrm>
          <a:off x="2549" y="-441890776"/>
          <a:ext cx="6350" cy="635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2549</xdr:colOff>
      <xdr:row>0</xdr:row>
      <xdr:rowOff>-438197271</xdr:rowOff>
    </xdr:to>
    <xdr:sp macro="" textlink="">
      <xdr:nvSpPr>
        <xdr:cNvPr id="1201" name="Partial Circle 1200">
          <a:extLst>
            <a:ext uri="{FF2B5EF4-FFF2-40B4-BE49-F238E27FC236}">
              <a16:creationId xmlns:a16="http://schemas.microsoft.com/office/drawing/2014/main" id="{CA3EC674-36B5-4A64-87F4-F6BBFCADC1BE}"/>
            </a:ext>
          </a:extLst>
        </xdr:cNvPr>
        <xdr:cNvSpPr>
          <a:spLocks noChangeAspect="1"/>
        </xdr:cNvSpPr>
      </xdr:nvSpPr>
      <xdr:spPr>
        <a:xfrm>
          <a:off x="2549" y="-441890776"/>
          <a:ext cx="0" cy="3693505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Apr 1854</a:t>
          </a: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3393</xdr:colOff>
      <xdr:row>0</xdr:row>
      <xdr:rowOff>-438251382</xdr:rowOff>
    </xdr:to>
    <xdr:sp macro="" textlink="">
      <xdr:nvSpPr>
        <xdr:cNvPr id="1200" name="Partial Circle 1199">
          <a:extLst>
            <a:ext uri="{FF2B5EF4-FFF2-40B4-BE49-F238E27FC236}">
              <a16:creationId xmlns:a16="http://schemas.microsoft.com/office/drawing/2014/main" id="{B4AC43CF-485C-4626-ABE6-55B016B9DF3E}"/>
            </a:ext>
          </a:extLst>
        </xdr:cNvPr>
        <xdr:cNvSpPr>
          <a:spLocks noChangeAspect="1"/>
        </xdr:cNvSpPr>
      </xdr:nvSpPr>
      <xdr:spPr>
        <a:xfrm>
          <a:off x="2549" y="-441890776"/>
          <a:ext cx="844" cy="3639394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3393</xdr:colOff>
      <xdr:row>0</xdr:row>
      <xdr:rowOff>-438251382</xdr:rowOff>
    </xdr:to>
    <xdr:sp macro="" textlink="">
      <xdr:nvSpPr>
        <xdr:cNvPr id="1199" name="Partial Circle 1198">
          <a:extLst>
            <a:ext uri="{FF2B5EF4-FFF2-40B4-BE49-F238E27FC236}">
              <a16:creationId xmlns:a16="http://schemas.microsoft.com/office/drawing/2014/main" id="{BEB77639-ED0F-4FD0-AC0C-82E8F021D3A3}"/>
            </a:ext>
          </a:extLst>
        </xdr:cNvPr>
        <xdr:cNvSpPr>
          <a:spLocks noChangeAspect="1"/>
        </xdr:cNvSpPr>
      </xdr:nvSpPr>
      <xdr:spPr>
        <a:xfrm>
          <a:off x="2549" y="-441890776"/>
          <a:ext cx="844" cy="3639394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265</xdr:colOff>
      <xdr:row>0</xdr:row>
      <xdr:rowOff>-444486469</xdr:rowOff>
    </xdr:from>
    <xdr:to>
      <xdr:col>0</xdr:col>
      <xdr:colOff>8882</xdr:colOff>
      <xdr:row>0</xdr:row>
      <xdr:rowOff>-399129327</xdr:rowOff>
    </xdr:to>
    <xdr:sp macro="" textlink="">
      <xdr:nvSpPr>
        <xdr:cNvPr id="1212" name="Partial Circle 1211">
          <a:extLst>
            <a:ext uri="{FF2B5EF4-FFF2-40B4-BE49-F238E27FC236}">
              <a16:creationId xmlns:a16="http://schemas.microsoft.com/office/drawing/2014/main" id="{C145AEEC-D626-4BF4-882C-EB0F1D4C1EF2}"/>
            </a:ext>
          </a:extLst>
        </xdr:cNvPr>
        <xdr:cNvSpPr>
          <a:spLocks noChangeAspect="1"/>
        </xdr:cNvSpPr>
      </xdr:nvSpPr>
      <xdr:spPr>
        <a:xfrm rot="1661539">
          <a:off x="265" y="-444486469"/>
          <a:ext cx="8617" cy="45357142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9225</xdr:colOff>
      <xdr:row>0</xdr:row>
      <xdr:rowOff>-442098591</xdr:rowOff>
    </xdr:from>
    <xdr:to>
      <xdr:col>0</xdr:col>
      <xdr:colOff>9225</xdr:colOff>
      <xdr:row>0</xdr:row>
      <xdr:rowOff>-438470019</xdr:rowOff>
    </xdr:to>
    <xdr:sp macro="" textlink="">
      <xdr:nvSpPr>
        <xdr:cNvPr id="1211" name="Partial Circle 1210">
          <a:extLst>
            <a:ext uri="{FF2B5EF4-FFF2-40B4-BE49-F238E27FC236}">
              <a16:creationId xmlns:a16="http://schemas.microsoft.com/office/drawing/2014/main" id="{B6801067-46CB-4272-B7DC-66159E1AA296}"/>
            </a:ext>
          </a:extLst>
        </xdr:cNvPr>
        <xdr:cNvSpPr>
          <a:spLocks noChangeAspect="1"/>
        </xdr:cNvSpPr>
      </xdr:nvSpPr>
      <xdr:spPr>
        <a:xfrm rot="1661539">
          <a:off x="9225" y="-442098591"/>
          <a:ext cx="0" cy="3628572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7916</xdr:colOff>
      <xdr:row>0</xdr:row>
      <xdr:rowOff>-445319733</xdr:rowOff>
    </xdr:from>
    <xdr:to>
      <xdr:col>0</xdr:col>
      <xdr:colOff>7916</xdr:colOff>
      <xdr:row>0</xdr:row>
      <xdr:rowOff>-385448303</xdr:rowOff>
    </xdr:to>
    <xdr:sp macro="" textlink="">
      <xdr:nvSpPr>
        <xdr:cNvPr id="1210" name="Partial Circle 1209">
          <a:extLst>
            <a:ext uri="{FF2B5EF4-FFF2-40B4-BE49-F238E27FC236}">
              <a16:creationId xmlns:a16="http://schemas.microsoft.com/office/drawing/2014/main" id="{F8822A8B-FACE-46D1-A561-00C62BFE7822}"/>
            </a:ext>
          </a:extLst>
        </xdr:cNvPr>
        <xdr:cNvSpPr>
          <a:spLocks noChangeAspect="1"/>
        </xdr:cNvSpPr>
      </xdr:nvSpPr>
      <xdr:spPr>
        <a:xfrm rot="1661539">
          <a:off x="7916" y="-445319733"/>
          <a:ext cx="0" cy="5987143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9469</xdr:colOff>
      <xdr:row>0</xdr:row>
      <xdr:rowOff>-442254453</xdr:rowOff>
    </xdr:from>
    <xdr:to>
      <xdr:col>0</xdr:col>
      <xdr:colOff>9469</xdr:colOff>
      <xdr:row>0</xdr:row>
      <xdr:rowOff>-435904453</xdr:rowOff>
    </xdr:to>
    <xdr:sp macro="" textlink="">
      <xdr:nvSpPr>
        <xdr:cNvPr id="1209" name="Partial Circle 1208">
          <a:extLst>
            <a:ext uri="{FF2B5EF4-FFF2-40B4-BE49-F238E27FC236}">
              <a16:creationId xmlns:a16="http://schemas.microsoft.com/office/drawing/2014/main" id="{472926C8-1CE0-4A43-98B0-C31168138712}"/>
            </a:ext>
          </a:extLst>
        </xdr:cNvPr>
        <xdr:cNvSpPr>
          <a:spLocks noChangeAspect="1"/>
        </xdr:cNvSpPr>
      </xdr:nvSpPr>
      <xdr:spPr>
        <a:xfrm rot="1661539">
          <a:off x="9469" y="-442254453"/>
          <a:ext cx="0" cy="635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4792</xdr:colOff>
      <xdr:row>0</xdr:row>
      <xdr:rowOff>-442103373</xdr:rowOff>
    </xdr:from>
    <xdr:to>
      <xdr:col>0</xdr:col>
      <xdr:colOff>4792</xdr:colOff>
      <xdr:row>0</xdr:row>
      <xdr:rowOff>-438391315</xdr:rowOff>
    </xdr:to>
    <xdr:sp macro="" textlink="">
      <xdr:nvSpPr>
        <xdr:cNvPr id="1208" name="Partial Circle 1207">
          <a:extLst>
            <a:ext uri="{FF2B5EF4-FFF2-40B4-BE49-F238E27FC236}">
              <a16:creationId xmlns:a16="http://schemas.microsoft.com/office/drawing/2014/main" id="{805226F0-47A9-4876-916B-FC486BD39605}"/>
            </a:ext>
          </a:extLst>
        </xdr:cNvPr>
        <xdr:cNvSpPr>
          <a:spLocks noChangeAspect="1"/>
        </xdr:cNvSpPr>
      </xdr:nvSpPr>
      <xdr:spPr>
        <a:xfrm rot="1661539">
          <a:off x="4792" y="-442103373"/>
          <a:ext cx="0" cy="3712058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May 1854</a:t>
          </a:r>
        </a:p>
      </xdr:txBody>
    </xdr:sp>
    <xdr:clientData/>
  </xdr:twoCellAnchor>
  <xdr:twoCellAnchor>
    <xdr:from>
      <xdr:col>0</xdr:col>
      <xdr:colOff>8091</xdr:colOff>
      <xdr:row>0</xdr:row>
      <xdr:rowOff>-442101336</xdr:rowOff>
    </xdr:from>
    <xdr:to>
      <xdr:col>0</xdr:col>
      <xdr:colOff>8091</xdr:colOff>
      <xdr:row>0</xdr:row>
      <xdr:rowOff>-438424837</xdr:rowOff>
    </xdr:to>
    <xdr:sp macro="" textlink="">
      <xdr:nvSpPr>
        <xdr:cNvPr id="1207" name="Partial Circle 1206">
          <a:extLst>
            <a:ext uri="{FF2B5EF4-FFF2-40B4-BE49-F238E27FC236}">
              <a16:creationId xmlns:a16="http://schemas.microsoft.com/office/drawing/2014/main" id="{42341F76-EC49-426B-8D84-EA8FD33B404B}"/>
            </a:ext>
          </a:extLst>
        </xdr:cNvPr>
        <xdr:cNvSpPr>
          <a:spLocks noChangeAspect="1"/>
        </xdr:cNvSpPr>
      </xdr:nvSpPr>
      <xdr:spPr>
        <a:xfrm rot="1661539">
          <a:off x="8091" y="-442101336"/>
          <a:ext cx="0" cy="3676499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8091</xdr:colOff>
      <xdr:row>0</xdr:row>
      <xdr:rowOff>-442101336</xdr:rowOff>
    </xdr:from>
    <xdr:to>
      <xdr:col>0</xdr:col>
      <xdr:colOff>8091</xdr:colOff>
      <xdr:row>0</xdr:row>
      <xdr:rowOff>-438424837</xdr:rowOff>
    </xdr:to>
    <xdr:sp macro="" textlink="">
      <xdr:nvSpPr>
        <xdr:cNvPr id="1206" name="Partial Circle 1205">
          <a:extLst>
            <a:ext uri="{FF2B5EF4-FFF2-40B4-BE49-F238E27FC236}">
              <a16:creationId xmlns:a16="http://schemas.microsoft.com/office/drawing/2014/main" id="{05D3D59F-33C2-4277-829A-2D99CFC8B319}"/>
            </a:ext>
          </a:extLst>
        </xdr:cNvPr>
        <xdr:cNvSpPr>
          <a:spLocks noChangeAspect="1"/>
        </xdr:cNvSpPr>
      </xdr:nvSpPr>
      <xdr:spPr>
        <a:xfrm rot="1661539">
          <a:off x="8091" y="-442101336"/>
          <a:ext cx="0" cy="3676499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2281</xdr:colOff>
      <xdr:row>0</xdr:row>
      <xdr:rowOff>-444219170</xdr:rowOff>
    </xdr:from>
    <xdr:to>
      <xdr:col>0</xdr:col>
      <xdr:colOff>2281</xdr:colOff>
      <xdr:row>0</xdr:row>
      <xdr:rowOff>-417912028</xdr:rowOff>
    </xdr:to>
    <xdr:sp macro="" textlink="">
      <xdr:nvSpPr>
        <xdr:cNvPr id="1219" name="Partial Circle 1218">
          <a:extLst>
            <a:ext uri="{FF2B5EF4-FFF2-40B4-BE49-F238E27FC236}">
              <a16:creationId xmlns:a16="http://schemas.microsoft.com/office/drawing/2014/main" id="{E4B797AF-1325-4F7A-BAC6-CA85A9AC7299}"/>
            </a:ext>
          </a:extLst>
        </xdr:cNvPr>
        <xdr:cNvSpPr>
          <a:spLocks noChangeAspect="1"/>
        </xdr:cNvSpPr>
      </xdr:nvSpPr>
      <xdr:spPr>
        <a:xfrm rot="3323077">
          <a:off x="-13151290" y="-431065599"/>
          <a:ext cx="26307142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6948</xdr:colOff>
      <xdr:row>0</xdr:row>
      <xdr:rowOff>-442211933</xdr:rowOff>
    </xdr:from>
    <xdr:to>
      <xdr:col>0</xdr:col>
      <xdr:colOff>6948</xdr:colOff>
      <xdr:row>0</xdr:row>
      <xdr:rowOff>-438583363</xdr:rowOff>
    </xdr:to>
    <xdr:sp macro="" textlink="">
      <xdr:nvSpPr>
        <xdr:cNvPr id="1218" name="Partial Circle 1217">
          <a:extLst>
            <a:ext uri="{FF2B5EF4-FFF2-40B4-BE49-F238E27FC236}">
              <a16:creationId xmlns:a16="http://schemas.microsoft.com/office/drawing/2014/main" id="{210758B2-45A2-4430-BB06-D7BDB5026B13}"/>
            </a:ext>
          </a:extLst>
        </xdr:cNvPr>
        <xdr:cNvSpPr>
          <a:spLocks noChangeAspect="1"/>
        </xdr:cNvSpPr>
      </xdr:nvSpPr>
      <xdr:spPr>
        <a:xfrm rot="3323077">
          <a:off x="-1807337" y="-440397648"/>
          <a:ext cx="3628570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5035</xdr:colOff>
      <xdr:row>0</xdr:row>
      <xdr:rowOff>-445985538</xdr:rowOff>
    </xdr:from>
    <xdr:to>
      <xdr:col>0</xdr:col>
      <xdr:colOff>5035</xdr:colOff>
      <xdr:row>0</xdr:row>
      <xdr:rowOff>-399721255</xdr:rowOff>
    </xdr:to>
    <xdr:sp macro="" textlink="">
      <xdr:nvSpPr>
        <xdr:cNvPr id="1217" name="Partial Circle 1216">
          <a:extLst>
            <a:ext uri="{FF2B5EF4-FFF2-40B4-BE49-F238E27FC236}">
              <a16:creationId xmlns:a16="http://schemas.microsoft.com/office/drawing/2014/main" id="{CEF80975-87AA-4A99-8EB2-629146441AFE}"/>
            </a:ext>
          </a:extLst>
        </xdr:cNvPr>
        <xdr:cNvSpPr>
          <a:spLocks noChangeAspect="1"/>
        </xdr:cNvSpPr>
      </xdr:nvSpPr>
      <xdr:spPr>
        <a:xfrm rot="3323077">
          <a:off x="-23127107" y="-422853396"/>
          <a:ext cx="46264283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4292</xdr:colOff>
      <xdr:row>0</xdr:row>
      <xdr:rowOff>-442452802</xdr:rowOff>
    </xdr:from>
    <xdr:to>
      <xdr:col>0</xdr:col>
      <xdr:colOff>4292</xdr:colOff>
      <xdr:row>0</xdr:row>
      <xdr:rowOff>-436102804</xdr:rowOff>
    </xdr:to>
    <xdr:sp macro="" textlink="">
      <xdr:nvSpPr>
        <xdr:cNvPr id="1216" name="Partial Circle 1215">
          <a:extLst>
            <a:ext uri="{FF2B5EF4-FFF2-40B4-BE49-F238E27FC236}">
              <a16:creationId xmlns:a16="http://schemas.microsoft.com/office/drawing/2014/main" id="{FF7E6009-B75E-46E0-9B5D-F4AA07A78C2C}"/>
            </a:ext>
          </a:extLst>
        </xdr:cNvPr>
        <xdr:cNvSpPr>
          <a:spLocks noChangeAspect="1"/>
        </xdr:cNvSpPr>
      </xdr:nvSpPr>
      <xdr:spPr>
        <a:xfrm rot="3323077">
          <a:off x="-3170707" y="-439277803"/>
          <a:ext cx="6349998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7558</xdr:colOff>
      <xdr:row>0</xdr:row>
      <xdr:rowOff>-442216860</xdr:rowOff>
    </xdr:from>
    <xdr:to>
      <xdr:col>0</xdr:col>
      <xdr:colOff>7558</xdr:colOff>
      <xdr:row>0</xdr:row>
      <xdr:rowOff>-438532631</xdr:rowOff>
    </xdr:to>
    <xdr:sp macro="" textlink="">
      <xdr:nvSpPr>
        <xdr:cNvPr id="1215" name="Partial Circle 1214">
          <a:extLst>
            <a:ext uri="{FF2B5EF4-FFF2-40B4-BE49-F238E27FC236}">
              <a16:creationId xmlns:a16="http://schemas.microsoft.com/office/drawing/2014/main" id="{AD6FFF7E-5CFC-4188-9028-4F88338DDAF1}"/>
            </a:ext>
          </a:extLst>
        </xdr:cNvPr>
        <xdr:cNvSpPr>
          <a:spLocks noChangeAspect="1"/>
        </xdr:cNvSpPr>
      </xdr:nvSpPr>
      <xdr:spPr>
        <a:xfrm rot="3323077">
          <a:off x="-1834557" y="-440374745"/>
          <a:ext cx="3684229" cy="0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Jun 1854</a:t>
          </a:r>
        </a:p>
      </xdr:txBody>
    </xdr:sp>
    <xdr:clientData/>
  </xdr:twoCellAnchor>
  <xdr:twoCellAnchor>
    <xdr:from>
      <xdr:col>0</xdr:col>
      <xdr:colOff>3642</xdr:colOff>
      <xdr:row>0</xdr:row>
      <xdr:rowOff>-442215149</xdr:rowOff>
    </xdr:from>
    <xdr:to>
      <xdr:col>0</xdr:col>
      <xdr:colOff>3642</xdr:colOff>
      <xdr:row>0</xdr:row>
      <xdr:rowOff>-438550247</xdr:rowOff>
    </xdr:to>
    <xdr:sp macro="" textlink="">
      <xdr:nvSpPr>
        <xdr:cNvPr id="1214" name="Partial Circle 1213">
          <a:extLst>
            <a:ext uri="{FF2B5EF4-FFF2-40B4-BE49-F238E27FC236}">
              <a16:creationId xmlns:a16="http://schemas.microsoft.com/office/drawing/2014/main" id="{E4F5FCB6-7317-41B6-864A-5D9CD61FCBB9}"/>
            </a:ext>
          </a:extLst>
        </xdr:cNvPr>
        <xdr:cNvSpPr>
          <a:spLocks noChangeAspect="1"/>
        </xdr:cNvSpPr>
      </xdr:nvSpPr>
      <xdr:spPr>
        <a:xfrm rot="3323077">
          <a:off x="-1828809" y="-440382698"/>
          <a:ext cx="3664902" cy="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3642</xdr:colOff>
      <xdr:row>0</xdr:row>
      <xdr:rowOff>-442215149</xdr:rowOff>
    </xdr:from>
    <xdr:to>
      <xdr:col>0</xdr:col>
      <xdr:colOff>3642</xdr:colOff>
      <xdr:row>0</xdr:row>
      <xdr:rowOff>-438550247</xdr:rowOff>
    </xdr:to>
    <xdr:sp macro="" textlink="">
      <xdr:nvSpPr>
        <xdr:cNvPr id="1213" name="Partial Circle 1212">
          <a:extLst>
            <a:ext uri="{FF2B5EF4-FFF2-40B4-BE49-F238E27FC236}">
              <a16:creationId xmlns:a16="http://schemas.microsoft.com/office/drawing/2014/main" id="{01C7BD57-9BBC-4AA5-848C-FBB8B24B2ADE}"/>
            </a:ext>
          </a:extLst>
        </xdr:cNvPr>
        <xdr:cNvSpPr>
          <a:spLocks noChangeAspect="1"/>
        </xdr:cNvSpPr>
      </xdr:nvSpPr>
      <xdr:spPr>
        <a:xfrm rot="3323077">
          <a:off x="-1828809" y="-440382698"/>
          <a:ext cx="3664902" cy="0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4167</xdr:colOff>
      <xdr:row>0</xdr:row>
      <xdr:rowOff>-442221481</xdr:rowOff>
    </xdr:from>
    <xdr:to>
      <xdr:col>0</xdr:col>
      <xdr:colOff>4167</xdr:colOff>
      <xdr:row>0</xdr:row>
      <xdr:rowOff>-351507198</xdr:rowOff>
    </xdr:to>
    <xdr:sp macro="" textlink="">
      <xdr:nvSpPr>
        <xdr:cNvPr id="1226" name="Partial Circle 1225">
          <a:extLst>
            <a:ext uri="{FF2B5EF4-FFF2-40B4-BE49-F238E27FC236}">
              <a16:creationId xmlns:a16="http://schemas.microsoft.com/office/drawing/2014/main" id="{418AA9C6-94F7-4CC3-A6DB-0E2F61CA305A}"/>
            </a:ext>
          </a:extLst>
        </xdr:cNvPr>
        <xdr:cNvSpPr>
          <a:spLocks noChangeAspect="1"/>
        </xdr:cNvSpPr>
      </xdr:nvSpPr>
      <xdr:spPr>
        <a:xfrm rot="4984615">
          <a:off x="-45352975" y="-396864339"/>
          <a:ext cx="90714283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7759</xdr:colOff>
      <xdr:row>0</xdr:row>
      <xdr:rowOff>-441904004</xdr:rowOff>
    </xdr:from>
    <xdr:to>
      <xdr:col>0</xdr:col>
      <xdr:colOff>7759</xdr:colOff>
      <xdr:row>0</xdr:row>
      <xdr:rowOff>-438275434</xdr:rowOff>
    </xdr:to>
    <xdr:sp macro="" textlink="">
      <xdr:nvSpPr>
        <xdr:cNvPr id="1225" name="Partial Circle 1224">
          <a:extLst>
            <a:ext uri="{FF2B5EF4-FFF2-40B4-BE49-F238E27FC236}">
              <a16:creationId xmlns:a16="http://schemas.microsoft.com/office/drawing/2014/main" id="{5ED0BE70-02B8-4310-A0C0-14E6570F0CB7}"/>
            </a:ext>
          </a:extLst>
        </xdr:cNvPr>
        <xdr:cNvSpPr>
          <a:spLocks noChangeAspect="1"/>
        </xdr:cNvSpPr>
      </xdr:nvSpPr>
      <xdr:spPr>
        <a:xfrm rot="4984615">
          <a:off x="-1806526" y="-440089719"/>
          <a:ext cx="3628570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7749</xdr:colOff>
      <xdr:row>0</xdr:row>
      <xdr:rowOff>-386614430</xdr:rowOff>
    </xdr:from>
    <xdr:to>
      <xdr:col>1639</xdr:col>
      <xdr:colOff>570659</xdr:colOff>
      <xdr:row>5134</xdr:row>
      <xdr:rowOff>72930</xdr:rowOff>
    </xdr:to>
    <xdr:sp macro="" textlink="">
      <xdr:nvSpPr>
        <xdr:cNvPr id="1224" name="Partial Circle 1223">
          <a:extLst>
            <a:ext uri="{FF2B5EF4-FFF2-40B4-BE49-F238E27FC236}">
              <a16:creationId xmlns:a16="http://schemas.microsoft.com/office/drawing/2014/main" id="{FFA47A29-47C7-4214-A3D0-8DFF09D16D5D}"/>
            </a:ext>
          </a:extLst>
        </xdr:cNvPr>
        <xdr:cNvSpPr>
          <a:spLocks noChangeAspect="1"/>
        </xdr:cNvSpPr>
      </xdr:nvSpPr>
      <xdr:spPr>
        <a:xfrm rot="4984615">
          <a:off x="-182315039" y="-204291642"/>
          <a:ext cx="1364342885" cy="99969731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154</xdr:colOff>
      <xdr:row>0</xdr:row>
      <xdr:rowOff>-441913542</xdr:rowOff>
    </xdr:from>
    <xdr:to>
      <xdr:col>0</xdr:col>
      <xdr:colOff>6504</xdr:colOff>
      <xdr:row>0</xdr:row>
      <xdr:rowOff>-435563542</xdr:rowOff>
    </xdr:to>
    <xdr:sp macro="" textlink="">
      <xdr:nvSpPr>
        <xdr:cNvPr id="1223" name="Partial Circle 1222">
          <a:extLst>
            <a:ext uri="{FF2B5EF4-FFF2-40B4-BE49-F238E27FC236}">
              <a16:creationId xmlns:a16="http://schemas.microsoft.com/office/drawing/2014/main" id="{6E93758D-BB11-4AF3-A480-5E6B5E8E6B14}"/>
            </a:ext>
          </a:extLst>
        </xdr:cNvPr>
        <xdr:cNvSpPr>
          <a:spLocks noChangeAspect="1"/>
        </xdr:cNvSpPr>
      </xdr:nvSpPr>
      <xdr:spPr>
        <a:xfrm rot="4984615">
          <a:off x="-3171671" y="-438741717"/>
          <a:ext cx="6350000" cy="635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1643</xdr:colOff>
      <xdr:row>0</xdr:row>
      <xdr:rowOff>-441908226</xdr:rowOff>
    </xdr:from>
    <xdr:to>
      <xdr:col>0</xdr:col>
      <xdr:colOff>6210</xdr:colOff>
      <xdr:row>0</xdr:row>
      <xdr:rowOff>-437045909</xdr:rowOff>
    </xdr:to>
    <xdr:sp macro="" textlink="">
      <xdr:nvSpPr>
        <xdr:cNvPr id="1222" name="Partial Circle 1221">
          <a:extLst>
            <a:ext uri="{FF2B5EF4-FFF2-40B4-BE49-F238E27FC236}">
              <a16:creationId xmlns:a16="http://schemas.microsoft.com/office/drawing/2014/main" id="{9333845C-1A7F-4669-84BC-61D7DD480253}"/>
            </a:ext>
          </a:extLst>
        </xdr:cNvPr>
        <xdr:cNvSpPr>
          <a:spLocks noChangeAspect="1"/>
        </xdr:cNvSpPr>
      </xdr:nvSpPr>
      <xdr:spPr>
        <a:xfrm rot="4984615">
          <a:off x="-2427232" y="-439479351"/>
          <a:ext cx="4862317" cy="4567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Jul 1854</a:t>
          </a:r>
        </a:p>
      </xdr:txBody>
    </xdr:sp>
    <xdr:clientData/>
  </xdr:twoCellAnchor>
  <xdr:twoCellAnchor>
    <xdr:from>
      <xdr:col>0</xdr:col>
      <xdr:colOff>5482</xdr:colOff>
      <xdr:row>0</xdr:row>
      <xdr:rowOff>-441908231</xdr:rowOff>
    </xdr:from>
    <xdr:to>
      <xdr:col>0</xdr:col>
      <xdr:colOff>5482</xdr:colOff>
      <xdr:row>0</xdr:row>
      <xdr:rowOff>-437120127</xdr:rowOff>
    </xdr:to>
    <xdr:sp macro="" textlink="">
      <xdr:nvSpPr>
        <xdr:cNvPr id="1221" name="Partial Circle 1220">
          <a:extLst>
            <a:ext uri="{FF2B5EF4-FFF2-40B4-BE49-F238E27FC236}">
              <a16:creationId xmlns:a16="http://schemas.microsoft.com/office/drawing/2014/main" id="{92386CC9-C9A3-472B-BF19-C1D6594D1172}"/>
            </a:ext>
          </a:extLst>
        </xdr:cNvPr>
        <xdr:cNvSpPr>
          <a:spLocks noChangeAspect="1"/>
        </xdr:cNvSpPr>
      </xdr:nvSpPr>
      <xdr:spPr>
        <a:xfrm rot="4984615">
          <a:off x="-2388570" y="-439514179"/>
          <a:ext cx="4788104" cy="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5482</xdr:colOff>
      <xdr:row>0</xdr:row>
      <xdr:rowOff>-441908231</xdr:rowOff>
    </xdr:from>
    <xdr:to>
      <xdr:col>0</xdr:col>
      <xdr:colOff>5482</xdr:colOff>
      <xdr:row>0</xdr:row>
      <xdr:rowOff>-437120127</xdr:rowOff>
    </xdr:to>
    <xdr:sp macro="" textlink="">
      <xdr:nvSpPr>
        <xdr:cNvPr id="1220" name="Partial Circle 1219">
          <a:extLst>
            <a:ext uri="{FF2B5EF4-FFF2-40B4-BE49-F238E27FC236}">
              <a16:creationId xmlns:a16="http://schemas.microsoft.com/office/drawing/2014/main" id="{CC683448-E4B8-4C8A-A49A-FB40C8690C2E}"/>
            </a:ext>
          </a:extLst>
        </xdr:cNvPr>
        <xdr:cNvSpPr>
          <a:spLocks noChangeAspect="1"/>
        </xdr:cNvSpPr>
      </xdr:nvSpPr>
      <xdr:spPr>
        <a:xfrm rot="4984615">
          <a:off x="-2388570" y="-439514179"/>
          <a:ext cx="4788104" cy="0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5907</xdr:colOff>
      <xdr:row>0</xdr:row>
      <xdr:rowOff>-445515691</xdr:rowOff>
    </xdr:from>
    <xdr:to>
      <xdr:col>0</xdr:col>
      <xdr:colOff>8627</xdr:colOff>
      <xdr:row>0</xdr:row>
      <xdr:rowOff>-333937121</xdr:rowOff>
    </xdr:to>
    <xdr:sp macro="" textlink="">
      <xdr:nvSpPr>
        <xdr:cNvPr id="1233" name="Partial Circle 1232">
          <a:extLst>
            <a:ext uri="{FF2B5EF4-FFF2-40B4-BE49-F238E27FC236}">
              <a16:creationId xmlns:a16="http://schemas.microsoft.com/office/drawing/2014/main" id="{C44A772B-C137-4561-AE00-413E3983B210}"/>
            </a:ext>
          </a:extLst>
        </xdr:cNvPr>
        <xdr:cNvSpPr>
          <a:spLocks noChangeAspect="1"/>
        </xdr:cNvSpPr>
      </xdr:nvSpPr>
      <xdr:spPr>
        <a:xfrm rot="6646154">
          <a:off x="-55782018" y="-389727766"/>
          <a:ext cx="111578570" cy="272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5258</xdr:colOff>
      <xdr:row>0</xdr:row>
      <xdr:rowOff>-442126574</xdr:rowOff>
    </xdr:from>
    <xdr:to>
      <xdr:col>0</xdr:col>
      <xdr:colOff>5258</xdr:colOff>
      <xdr:row>0</xdr:row>
      <xdr:rowOff>-434869433</xdr:rowOff>
    </xdr:to>
    <xdr:sp macro="" textlink="">
      <xdr:nvSpPr>
        <xdr:cNvPr id="1232" name="Partial Circle 1231">
          <a:extLst>
            <a:ext uri="{FF2B5EF4-FFF2-40B4-BE49-F238E27FC236}">
              <a16:creationId xmlns:a16="http://schemas.microsoft.com/office/drawing/2014/main" id="{65296D54-759C-4C4A-AE35-2ACD3D91AB67}"/>
            </a:ext>
          </a:extLst>
        </xdr:cNvPr>
        <xdr:cNvSpPr>
          <a:spLocks noChangeAspect="1"/>
        </xdr:cNvSpPr>
      </xdr:nvSpPr>
      <xdr:spPr>
        <a:xfrm rot="6646154">
          <a:off x="-3623313" y="-438498003"/>
          <a:ext cx="7257141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6957</xdr:colOff>
      <xdr:row>0</xdr:row>
      <xdr:rowOff>-154205303</xdr:rowOff>
    </xdr:from>
    <xdr:to>
      <xdr:col>3307</xdr:col>
      <xdr:colOff>83157</xdr:colOff>
      <xdr:row>10462</xdr:row>
      <xdr:rowOff>166372</xdr:rowOff>
    </xdr:to>
    <xdr:sp macro="" textlink="">
      <xdr:nvSpPr>
        <xdr:cNvPr id="1231" name="Partial Circle 1230">
          <a:extLst>
            <a:ext uri="{FF2B5EF4-FFF2-40B4-BE49-F238E27FC236}">
              <a16:creationId xmlns:a16="http://schemas.microsoft.com/office/drawing/2014/main" id="{21871D8D-8C57-4C8F-9DD0-D12DB87CB018}"/>
            </a:ext>
          </a:extLst>
        </xdr:cNvPr>
        <xdr:cNvSpPr>
          <a:spLocks noChangeAspect="1"/>
        </xdr:cNvSpPr>
      </xdr:nvSpPr>
      <xdr:spPr>
        <a:xfrm rot="6646154">
          <a:off x="-65486943" y="-88711403"/>
          <a:ext cx="2147011200" cy="20160234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6110</xdr:colOff>
      <xdr:row>0</xdr:row>
      <xdr:rowOff>-442097099</xdr:rowOff>
    </xdr:from>
    <xdr:to>
      <xdr:col>0</xdr:col>
      <xdr:colOff>6110</xdr:colOff>
      <xdr:row>0</xdr:row>
      <xdr:rowOff>-435747101</xdr:rowOff>
    </xdr:to>
    <xdr:sp macro="" textlink="">
      <xdr:nvSpPr>
        <xdr:cNvPr id="1230" name="Partial Circle 1229">
          <a:extLst>
            <a:ext uri="{FF2B5EF4-FFF2-40B4-BE49-F238E27FC236}">
              <a16:creationId xmlns:a16="http://schemas.microsoft.com/office/drawing/2014/main" id="{69AB3703-C068-4182-A469-EB377B3ABF79}"/>
            </a:ext>
          </a:extLst>
        </xdr:cNvPr>
        <xdr:cNvSpPr>
          <a:spLocks noChangeAspect="1"/>
        </xdr:cNvSpPr>
      </xdr:nvSpPr>
      <xdr:spPr>
        <a:xfrm rot="6646154">
          <a:off x="-3168889" y="-438922100"/>
          <a:ext cx="6349998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2421</xdr:colOff>
      <xdr:row>0</xdr:row>
      <xdr:rowOff>-442094274</xdr:rowOff>
    </xdr:from>
    <xdr:to>
      <xdr:col>0</xdr:col>
      <xdr:colOff>2421</xdr:colOff>
      <xdr:row>0</xdr:row>
      <xdr:rowOff>-435831241</xdr:rowOff>
    </xdr:to>
    <xdr:sp macro="" textlink="">
      <xdr:nvSpPr>
        <xdr:cNvPr id="1229" name="Partial Circle 1228">
          <a:extLst>
            <a:ext uri="{FF2B5EF4-FFF2-40B4-BE49-F238E27FC236}">
              <a16:creationId xmlns:a16="http://schemas.microsoft.com/office/drawing/2014/main" id="{27FC10AD-3FF1-4E8E-B2C3-B3FAFED67F6E}"/>
            </a:ext>
          </a:extLst>
        </xdr:cNvPr>
        <xdr:cNvSpPr>
          <a:spLocks noChangeAspect="1"/>
        </xdr:cNvSpPr>
      </xdr:nvSpPr>
      <xdr:spPr>
        <a:xfrm rot="6646154">
          <a:off x="-3129096" y="-438962757"/>
          <a:ext cx="6263033" cy="0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Aug 1854</a:t>
          </a:r>
        </a:p>
      </xdr:txBody>
    </xdr:sp>
    <xdr:clientData/>
  </xdr:twoCellAnchor>
  <xdr:twoCellAnchor>
    <xdr:from>
      <xdr:col>0</xdr:col>
      <xdr:colOff>832</xdr:colOff>
      <xdr:row>0</xdr:row>
      <xdr:rowOff>-442089801</xdr:rowOff>
    </xdr:from>
    <xdr:to>
      <xdr:col>0</xdr:col>
      <xdr:colOff>9202</xdr:colOff>
      <xdr:row>0</xdr:row>
      <xdr:rowOff>-435918756</xdr:rowOff>
    </xdr:to>
    <xdr:sp macro="" textlink="">
      <xdr:nvSpPr>
        <xdr:cNvPr id="1228" name="Partial Circle 1227">
          <a:extLst>
            <a:ext uri="{FF2B5EF4-FFF2-40B4-BE49-F238E27FC236}">
              <a16:creationId xmlns:a16="http://schemas.microsoft.com/office/drawing/2014/main" id="{689E5B7F-E8BB-4ACE-B52E-D2E0F73C9CC5}"/>
            </a:ext>
          </a:extLst>
        </xdr:cNvPr>
        <xdr:cNvSpPr>
          <a:spLocks noChangeAspect="1"/>
        </xdr:cNvSpPr>
      </xdr:nvSpPr>
      <xdr:spPr>
        <a:xfrm rot="6646154">
          <a:off x="-3080506" y="-439008463"/>
          <a:ext cx="6171045" cy="837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384</xdr:colOff>
      <xdr:row>0</xdr:row>
      <xdr:rowOff>-442090249</xdr:rowOff>
    </xdr:from>
    <xdr:to>
      <xdr:col>0</xdr:col>
      <xdr:colOff>5662</xdr:colOff>
      <xdr:row>0</xdr:row>
      <xdr:rowOff>-435922296</xdr:rowOff>
    </xdr:to>
    <xdr:sp macro="" textlink="">
      <xdr:nvSpPr>
        <xdr:cNvPr id="1227" name="Partial Circle 1226">
          <a:extLst>
            <a:ext uri="{FF2B5EF4-FFF2-40B4-BE49-F238E27FC236}">
              <a16:creationId xmlns:a16="http://schemas.microsoft.com/office/drawing/2014/main" id="{6174B051-66AE-4C2F-B512-D406205E63E6}"/>
            </a:ext>
          </a:extLst>
        </xdr:cNvPr>
        <xdr:cNvSpPr>
          <a:spLocks noChangeAspect="1"/>
        </xdr:cNvSpPr>
      </xdr:nvSpPr>
      <xdr:spPr>
        <a:xfrm rot="6646154">
          <a:off x="-3080954" y="-439008911"/>
          <a:ext cx="6167953" cy="5278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2997</xdr:colOff>
      <xdr:row>0</xdr:row>
      <xdr:rowOff>-473943986</xdr:rowOff>
    </xdr:from>
    <xdr:to>
      <xdr:col>0</xdr:col>
      <xdr:colOff>2997</xdr:colOff>
      <xdr:row>0</xdr:row>
      <xdr:rowOff>-219036847</xdr:rowOff>
    </xdr:to>
    <xdr:sp macro="" textlink="">
      <xdr:nvSpPr>
        <xdr:cNvPr id="1240" name="Partial Circle 1239">
          <a:extLst>
            <a:ext uri="{FF2B5EF4-FFF2-40B4-BE49-F238E27FC236}">
              <a16:creationId xmlns:a16="http://schemas.microsoft.com/office/drawing/2014/main" id="{0335B160-E77E-4A28-902C-8056957F1E1D}"/>
            </a:ext>
          </a:extLst>
        </xdr:cNvPr>
        <xdr:cNvSpPr>
          <a:spLocks noChangeAspect="1"/>
        </xdr:cNvSpPr>
      </xdr:nvSpPr>
      <xdr:spPr>
        <a:xfrm rot="8307692">
          <a:off x="2997" y="-473943986"/>
          <a:ext cx="0" cy="254907139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7473</xdr:colOff>
      <xdr:row>0</xdr:row>
      <xdr:rowOff>-478962993</xdr:rowOff>
    </xdr:from>
    <xdr:to>
      <xdr:col>0</xdr:col>
      <xdr:colOff>7473</xdr:colOff>
      <xdr:row>0</xdr:row>
      <xdr:rowOff>-184141575</xdr:rowOff>
    </xdr:to>
    <xdr:sp macro="" textlink="">
      <xdr:nvSpPr>
        <xdr:cNvPr id="1239" name="Partial Circle 1238">
          <a:extLst>
            <a:ext uri="{FF2B5EF4-FFF2-40B4-BE49-F238E27FC236}">
              <a16:creationId xmlns:a16="http://schemas.microsoft.com/office/drawing/2014/main" id="{2A03DDAF-5EE8-40FD-B392-E90B423DE77F}"/>
            </a:ext>
          </a:extLst>
        </xdr:cNvPr>
        <xdr:cNvSpPr>
          <a:spLocks noChangeAspect="1"/>
        </xdr:cNvSpPr>
      </xdr:nvSpPr>
      <xdr:spPr>
        <a:xfrm rot="8307692">
          <a:off x="7473" y="-478962993"/>
          <a:ext cx="0" cy="294821418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3522</xdr:col>
      <xdr:colOff>0</xdr:colOff>
      <xdr:row>11272</xdr:row>
      <xdr:rowOff>66675</xdr:rowOff>
    </xdr:to>
    <xdr:sp macro="" textlink="">
      <xdr:nvSpPr>
        <xdr:cNvPr id="1238" name="Partial Circle 1237">
          <a:extLst>
            <a:ext uri="{FF2B5EF4-FFF2-40B4-BE49-F238E27FC236}">
              <a16:creationId xmlns:a16="http://schemas.microsoft.com/office/drawing/2014/main" id="{9F9F504C-1F1E-4932-B131-7E076B707688}"/>
            </a:ext>
          </a:extLst>
        </xdr:cNvPr>
        <xdr:cNvSpPr>
          <a:spLocks noChangeAspect="1"/>
        </xdr:cNvSpPr>
      </xdr:nvSpPr>
      <xdr:spPr>
        <a:xfrm rot="8307692">
          <a:off x="0" y="0"/>
          <a:ext cx="2147011200" cy="21470112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4561</xdr:colOff>
      <xdr:row>0</xdr:row>
      <xdr:rowOff>-442689254</xdr:rowOff>
    </xdr:from>
    <xdr:to>
      <xdr:col>0</xdr:col>
      <xdr:colOff>4561</xdr:colOff>
      <xdr:row>0</xdr:row>
      <xdr:rowOff>-436339254</xdr:rowOff>
    </xdr:to>
    <xdr:sp macro="" textlink="">
      <xdr:nvSpPr>
        <xdr:cNvPr id="1237" name="Partial Circle 1236">
          <a:extLst>
            <a:ext uri="{FF2B5EF4-FFF2-40B4-BE49-F238E27FC236}">
              <a16:creationId xmlns:a16="http://schemas.microsoft.com/office/drawing/2014/main" id="{847BF5C5-45A3-45C2-98AB-CE466EEE376D}"/>
            </a:ext>
          </a:extLst>
        </xdr:cNvPr>
        <xdr:cNvSpPr>
          <a:spLocks noChangeAspect="1"/>
        </xdr:cNvSpPr>
      </xdr:nvSpPr>
      <xdr:spPr>
        <a:xfrm rot="8307692">
          <a:off x="4561" y="-442689254"/>
          <a:ext cx="0" cy="635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7726</xdr:colOff>
      <xdr:row>0</xdr:row>
      <xdr:rowOff>-442708646</xdr:rowOff>
    </xdr:from>
    <xdr:to>
      <xdr:col>0</xdr:col>
      <xdr:colOff>7726</xdr:colOff>
      <xdr:row>0</xdr:row>
      <xdr:rowOff>-436204428</xdr:rowOff>
    </xdr:to>
    <xdr:sp macro="" textlink="">
      <xdr:nvSpPr>
        <xdr:cNvPr id="1236" name="Partial Circle 1235">
          <a:extLst>
            <a:ext uri="{FF2B5EF4-FFF2-40B4-BE49-F238E27FC236}">
              <a16:creationId xmlns:a16="http://schemas.microsoft.com/office/drawing/2014/main" id="{DAB9D719-1C1C-41E4-BCBA-C1853C498A9F}"/>
            </a:ext>
          </a:extLst>
        </xdr:cNvPr>
        <xdr:cNvSpPr>
          <a:spLocks noChangeAspect="1"/>
        </xdr:cNvSpPr>
      </xdr:nvSpPr>
      <xdr:spPr>
        <a:xfrm rot="8307692">
          <a:off x="7726" y="-442708646"/>
          <a:ext cx="0" cy="6504218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Sep 1854</a:t>
          </a:r>
        </a:p>
      </xdr:txBody>
    </xdr:sp>
    <xdr:clientData/>
  </xdr:twoCellAnchor>
  <xdr:twoCellAnchor>
    <xdr:from>
      <xdr:col>0</xdr:col>
      <xdr:colOff>1755</xdr:colOff>
      <xdr:row>0</xdr:row>
      <xdr:rowOff>-442680530</xdr:rowOff>
    </xdr:from>
    <xdr:to>
      <xdr:col>0</xdr:col>
      <xdr:colOff>5346</xdr:colOff>
      <xdr:row>0</xdr:row>
      <xdr:rowOff>-436390439</xdr:rowOff>
    </xdr:to>
    <xdr:sp macro="" textlink="">
      <xdr:nvSpPr>
        <xdr:cNvPr id="1235" name="Partial Circle 1234">
          <a:extLst>
            <a:ext uri="{FF2B5EF4-FFF2-40B4-BE49-F238E27FC236}">
              <a16:creationId xmlns:a16="http://schemas.microsoft.com/office/drawing/2014/main" id="{F9D5660A-48EF-4DDD-AC26-345F6F6031A6}"/>
            </a:ext>
          </a:extLst>
        </xdr:cNvPr>
        <xdr:cNvSpPr>
          <a:spLocks noChangeAspect="1"/>
        </xdr:cNvSpPr>
      </xdr:nvSpPr>
      <xdr:spPr>
        <a:xfrm rot="8307692">
          <a:off x="1755" y="-442680530"/>
          <a:ext cx="3591" cy="6290091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7834</xdr:colOff>
      <xdr:row>0</xdr:row>
      <xdr:rowOff>-442650518</xdr:rowOff>
    </xdr:from>
    <xdr:to>
      <xdr:col>0</xdr:col>
      <xdr:colOff>7834</xdr:colOff>
      <xdr:row>0</xdr:row>
      <xdr:rowOff>-436608568</xdr:rowOff>
    </xdr:to>
    <xdr:sp macro="" textlink="">
      <xdr:nvSpPr>
        <xdr:cNvPr id="1234" name="Partial Circle 1233">
          <a:extLst>
            <a:ext uri="{FF2B5EF4-FFF2-40B4-BE49-F238E27FC236}">
              <a16:creationId xmlns:a16="http://schemas.microsoft.com/office/drawing/2014/main" id="{86D963C1-0B98-4FCC-9E3D-14DE1B4AB42E}"/>
            </a:ext>
          </a:extLst>
        </xdr:cNvPr>
        <xdr:cNvSpPr>
          <a:spLocks noChangeAspect="1"/>
        </xdr:cNvSpPr>
      </xdr:nvSpPr>
      <xdr:spPr>
        <a:xfrm rot="8307692">
          <a:off x="7834" y="-442650518"/>
          <a:ext cx="0" cy="6041950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4416</xdr:colOff>
      <xdr:row>0</xdr:row>
      <xdr:rowOff>-440844019</xdr:rowOff>
    </xdr:from>
    <xdr:to>
      <xdr:col>105</xdr:col>
      <xdr:colOff>368655</xdr:colOff>
      <xdr:row>92</xdr:row>
      <xdr:rowOff>108620</xdr:rowOff>
    </xdr:to>
    <xdr:sp macro="" textlink="">
      <xdr:nvSpPr>
        <xdr:cNvPr id="1247" name="Partial Circle 1246">
          <a:extLst>
            <a:ext uri="{FF2B5EF4-FFF2-40B4-BE49-F238E27FC236}">
              <a16:creationId xmlns:a16="http://schemas.microsoft.com/office/drawing/2014/main" id="{445FDA3D-09A5-4E8A-819D-080B4FB7A1D8}"/>
            </a:ext>
          </a:extLst>
        </xdr:cNvPr>
        <xdr:cNvSpPr>
          <a:spLocks noChangeAspect="1"/>
        </xdr:cNvSpPr>
      </xdr:nvSpPr>
      <xdr:spPr>
        <a:xfrm rot="9969230">
          <a:off x="4416" y="-440844019"/>
          <a:ext cx="64372239" cy="458107164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6285</xdr:colOff>
      <xdr:row>0</xdr:row>
      <xdr:rowOff>-439135791</xdr:rowOff>
    </xdr:from>
    <xdr:to>
      <xdr:col>131</xdr:col>
      <xdr:colOff>559202</xdr:colOff>
      <xdr:row>177</xdr:row>
      <xdr:rowOff>138626</xdr:rowOff>
    </xdr:to>
    <xdr:sp macro="" textlink="">
      <xdr:nvSpPr>
        <xdr:cNvPr id="1246" name="Partial Circle 1245">
          <a:extLst>
            <a:ext uri="{FF2B5EF4-FFF2-40B4-BE49-F238E27FC236}">
              <a16:creationId xmlns:a16="http://schemas.microsoft.com/office/drawing/2014/main" id="{F5FEAA25-6822-4261-8876-639B45C1099F}"/>
            </a:ext>
          </a:extLst>
        </xdr:cNvPr>
        <xdr:cNvSpPr>
          <a:spLocks noChangeAspect="1"/>
        </xdr:cNvSpPr>
      </xdr:nvSpPr>
      <xdr:spPr>
        <a:xfrm rot="9969230">
          <a:off x="6285" y="-439135791"/>
          <a:ext cx="80410517" cy="472621442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4632</xdr:colOff>
      <xdr:row>0</xdr:row>
      <xdr:rowOff>-283986779</xdr:rowOff>
    </xdr:from>
    <xdr:to>
      <xdr:col>2521</xdr:col>
      <xdr:colOff>261807</xdr:colOff>
      <xdr:row>7911</xdr:row>
      <xdr:rowOff>39196</xdr:rowOff>
    </xdr:to>
    <xdr:sp macro="" textlink="">
      <xdr:nvSpPr>
        <xdr:cNvPr id="1245" name="Partial Circle 1244">
          <a:extLst>
            <a:ext uri="{FF2B5EF4-FFF2-40B4-BE49-F238E27FC236}">
              <a16:creationId xmlns:a16="http://schemas.microsoft.com/office/drawing/2014/main" id="{A7BB94FA-92A9-4975-98E9-B65F9AD0001B}"/>
            </a:ext>
          </a:extLst>
        </xdr:cNvPr>
        <xdr:cNvSpPr>
          <a:spLocks noChangeAspect="1"/>
        </xdr:cNvSpPr>
      </xdr:nvSpPr>
      <xdr:spPr>
        <a:xfrm rot="9969230">
          <a:off x="4632" y="-283986779"/>
          <a:ext cx="1537058775" cy="179070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3368</xdr:colOff>
      <xdr:row>0</xdr:row>
      <xdr:rowOff>-441983035</xdr:rowOff>
    </xdr:from>
    <xdr:to>
      <xdr:col>0</xdr:col>
      <xdr:colOff>3368</xdr:colOff>
      <xdr:row>0</xdr:row>
      <xdr:rowOff>-435633035</xdr:rowOff>
    </xdr:to>
    <xdr:sp macro="" textlink="">
      <xdr:nvSpPr>
        <xdr:cNvPr id="1244" name="Partial Circle 1243">
          <a:extLst>
            <a:ext uri="{FF2B5EF4-FFF2-40B4-BE49-F238E27FC236}">
              <a16:creationId xmlns:a16="http://schemas.microsoft.com/office/drawing/2014/main" id="{CB424885-BB62-46A9-9C6A-0BC2D80EB9F9}"/>
            </a:ext>
          </a:extLst>
        </xdr:cNvPr>
        <xdr:cNvSpPr>
          <a:spLocks noChangeAspect="1"/>
        </xdr:cNvSpPr>
      </xdr:nvSpPr>
      <xdr:spPr>
        <a:xfrm rot="9969230">
          <a:off x="3368" y="-441983035"/>
          <a:ext cx="0" cy="635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7718</xdr:colOff>
      <xdr:row>0</xdr:row>
      <xdr:rowOff>-441977055</xdr:rowOff>
    </xdr:from>
    <xdr:to>
      <xdr:col>0</xdr:col>
      <xdr:colOff>7718</xdr:colOff>
      <xdr:row>0</xdr:row>
      <xdr:rowOff>-436038690</xdr:rowOff>
    </xdr:to>
    <xdr:sp macro="" textlink="">
      <xdr:nvSpPr>
        <xdr:cNvPr id="1243" name="Partial Circle 1242">
          <a:extLst>
            <a:ext uri="{FF2B5EF4-FFF2-40B4-BE49-F238E27FC236}">
              <a16:creationId xmlns:a16="http://schemas.microsoft.com/office/drawing/2014/main" id="{92642DA0-B20C-43C5-A5DF-C7301D6B7395}"/>
            </a:ext>
          </a:extLst>
        </xdr:cNvPr>
        <xdr:cNvSpPr>
          <a:spLocks noChangeAspect="1"/>
        </xdr:cNvSpPr>
      </xdr:nvSpPr>
      <xdr:spPr>
        <a:xfrm rot="9969230">
          <a:off x="7718" y="-441977055"/>
          <a:ext cx="0" cy="5938365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Oct 1854</a:t>
          </a:r>
        </a:p>
      </xdr:txBody>
    </xdr:sp>
    <xdr:clientData/>
  </xdr:twoCellAnchor>
  <xdr:twoCellAnchor>
    <xdr:from>
      <xdr:col>0</xdr:col>
      <xdr:colOff>5103</xdr:colOff>
      <xdr:row>0</xdr:row>
      <xdr:rowOff>-441971428</xdr:rowOff>
    </xdr:from>
    <xdr:to>
      <xdr:col>0</xdr:col>
      <xdr:colOff>5103</xdr:colOff>
      <xdr:row>0</xdr:row>
      <xdr:rowOff>-436420347</xdr:rowOff>
    </xdr:to>
    <xdr:sp macro="" textlink="">
      <xdr:nvSpPr>
        <xdr:cNvPr id="1242" name="Partial Circle 1241">
          <a:extLst>
            <a:ext uri="{FF2B5EF4-FFF2-40B4-BE49-F238E27FC236}">
              <a16:creationId xmlns:a16="http://schemas.microsoft.com/office/drawing/2014/main" id="{26DC25C3-C97B-4D09-ACE8-44C06CA3565C}"/>
            </a:ext>
          </a:extLst>
        </xdr:cNvPr>
        <xdr:cNvSpPr>
          <a:spLocks noChangeAspect="1"/>
        </xdr:cNvSpPr>
      </xdr:nvSpPr>
      <xdr:spPr>
        <a:xfrm rot="9969230">
          <a:off x="5103" y="-441971428"/>
          <a:ext cx="0" cy="5551081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1188</xdr:colOff>
      <xdr:row>0</xdr:row>
      <xdr:rowOff>-441964673</xdr:rowOff>
    </xdr:from>
    <xdr:to>
      <xdr:col>0</xdr:col>
      <xdr:colOff>9115</xdr:colOff>
      <xdr:row>0</xdr:row>
      <xdr:rowOff>-436813246</xdr:rowOff>
    </xdr:to>
    <xdr:sp macro="" textlink="">
      <xdr:nvSpPr>
        <xdr:cNvPr id="1241" name="Partial Circle 1240">
          <a:extLst>
            <a:ext uri="{FF2B5EF4-FFF2-40B4-BE49-F238E27FC236}">
              <a16:creationId xmlns:a16="http://schemas.microsoft.com/office/drawing/2014/main" id="{417A0A04-5B3B-4212-B366-369EB73F72D4}"/>
            </a:ext>
          </a:extLst>
        </xdr:cNvPr>
        <xdr:cNvSpPr>
          <a:spLocks noChangeAspect="1"/>
        </xdr:cNvSpPr>
      </xdr:nvSpPr>
      <xdr:spPr>
        <a:xfrm rot="9969230">
          <a:off x="1188" y="-441964673"/>
          <a:ext cx="7927" cy="5151427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5409</xdr:colOff>
      <xdr:row>0</xdr:row>
      <xdr:rowOff>-447584529</xdr:rowOff>
    </xdr:from>
    <xdr:to>
      <xdr:col>0</xdr:col>
      <xdr:colOff>5409</xdr:colOff>
      <xdr:row>0</xdr:row>
      <xdr:rowOff>-55698808</xdr:rowOff>
    </xdr:to>
    <xdr:sp macro="" textlink="">
      <xdr:nvSpPr>
        <xdr:cNvPr id="1254" name="Partial Circle 1253">
          <a:extLst>
            <a:ext uri="{FF2B5EF4-FFF2-40B4-BE49-F238E27FC236}">
              <a16:creationId xmlns:a16="http://schemas.microsoft.com/office/drawing/2014/main" id="{6B835D6A-6E0D-49E2-8CAC-C09672E81ABD}"/>
            </a:ext>
          </a:extLst>
        </xdr:cNvPr>
        <xdr:cNvSpPr>
          <a:spLocks noChangeAspect="1"/>
        </xdr:cNvSpPr>
      </xdr:nvSpPr>
      <xdr:spPr>
        <a:xfrm rot="11630770">
          <a:off x="5409" y="-447584529"/>
          <a:ext cx="0" cy="391885721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4992</xdr:colOff>
      <xdr:row>0</xdr:row>
      <xdr:rowOff>-370690772</xdr:rowOff>
    </xdr:from>
    <xdr:to>
      <xdr:col>1186</xdr:col>
      <xdr:colOff>39917</xdr:colOff>
      <xdr:row>3589</xdr:row>
      <xdr:rowOff>76203</xdr:rowOff>
    </xdr:to>
    <xdr:sp macro="" textlink="">
      <xdr:nvSpPr>
        <xdr:cNvPr id="1253" name="Partial Circle 1252">
          <a:extLst>
            <a:ext uri="{FF2B5EF4-FFF2-40B4-BE49-F238E27FC236}">
              <a16:creationId xmlns:a16="http://schemas.microsoft.com/office/drawing/2014/main" id="{2BF60200-11C3-4AB2-8F4D-D4F347F8D6D9}"/>
            </a:ext>
          </a:extLst>
        </xdr:cNvPr>
        <xdr:cNvSpPr>
          <a:spLocks noChangeAspect="1"/>
        </xdr:cNvSpPr>
      </xdr:nvSpPr>
      <xdr:spPr>
        <a:xfrm rot="11630770">
          <a:off x="4992" y="-370690772"/>
          <a:ext cx="723020525" cy="105410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1384</xdr:colOff>
      <xdr:row>0</xdr:row>
      <xdr:rowOff>-242045598</xdr:rowOff>
    </xdr:from>
    <xdr:to>
      <xdr:col>3167</xdr:col>
      <xdr:colOff>229984</xdr:colOff>
      <xdr:row>10001</xdr:row>
      <xdr:rowOff>146577</xdr:rowOff>
    </xdr:to>
    <xdr:sp macro="" textlink="">
      <xdr:nvSpPr>
        <xdr:cNvPr id="1252" name="Partial Circle 1251">
          <a:extLst>
            <a:ext uri="{FF2B5EF4-FFF2-40B4-BE49-F238E27FC236}">
              <a16:creationId xmlns:a16="http://schemas.microsoft.com/office/drawing/2014/main" id="{3DA5653F-FA87-4F47-AE9C-D6CB4B84F17A}"/>
            </a:ext>
          </a:extLst>
        </xdr:cNvPr>
        <xdr:cNvSpPr>
          <a:spLocks noChangeAspect="1"/>
        </xdr:cNvSpPr>
      </xdr:nvSpPr>
      <xdr:spPr>
        <a:xfrm rot="11630770">
          <a:off x="1384" y="-242045598"/>
          <a:ext cx="1930831800" cy="21470112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3368</xdr:colOff>
      <xdr:row>0</xdr:row>
      <xdr:rowOff>-441983035</xdr:rowOff>
    </xdr:from>
    <xdr:to>
      <xdr:col>0</xdr:col>
      <xdr:colOff>3368</xdr:colOff>
      <xdr:row>0</xdr:row>
      <xdr:rowOff>-435633035</xdr:rowOff>
    </xdr:to>
    <xdr:sp macro="" textlink="">
      <xdr:nvSpPr>
        <xdr:cNvPr id="1251" name="Partial Circle 1250">
          <a:extLst>
            <a:ext uri="{FF2B5EF4-FFF2-40B4-BE49-F238E27FC236}">
              <a16:creationId xmlns:a16="http://schemas.microsoft.com/office/drawing/2014/main" id="{91662F8E-F73F-43F6-8AC6-744F9AD42B81}"/>
            </a:ext>
          </a:extLst>
        </xdr:cNvPr>
        <xdr:cNvSpPr>
          <a:spLocks noChangeAspect="1"/>
        </xdr:cNvSpPr>
      </xdr:nvSpPr>
      <xdr:spPr>
        <a:xfrm rot="11630770">
          <a:off x="3368" y="-441983035"/>
          <a:ext cx="0" cy="635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8652</xdr:colOff>
      <xdr:row>0</xdr:row>
      <xdr:rowOff>-441999460</xdr:rowOff>
    </xdr:from>
    <xdr:to>
      <xdr:col>0</xdr:col>
      <xdr:colOff>9506</xdr:colOff>
      <xdr:row>0</xdr:row>
      <xdr:rowOff>-434511956</xdr:rowOff>
    </xdr:to>
    <xdr:sp macro="" textlink="">
      <xdr:nvSpPr>
        <xdr:cNvPr id="1250" name="Partial Circle 1249">
          <a:extLst>
            <a:ext uri="{FF2B5EF4-FFF2-40B4-BE49-F238E27FC236}">
              <a16:creationId xmlns:a16="http://schemas.microsoft.com/office/drawing/2014/main" id="{92050082-3BAC-4C1E-A17F-D96C199263AE}"/>
            </a:ext>
          </a:extLst>
        </xdr:cNvPr>
        <xdr:cNvSpPr>
          <a:spLocks noChangeAspect="1"/>
        </xdr:cNvSpPr>
      </xdr:nvSpPr>
      <xdr:spPr>
        <a:xfrm rot="11630770">
          <a:off x="8652" y="-441999460"/>
          <a:ext cx="854" cy="7487504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Nov 1854</a:t>
          </a:r>
        </a:p>
      </xdr:txBody>
    </xdr:sp>
    <xdr:clientData/>
  </xdr:twoCellAnchor>
  <xdr:twoCellAnchor>
    <xdr:from>
      <xdr:col>0</xdr:col>
      <xdr:colOff>2445</xdr:colOff>
      <xdr:row>0</xdr:row>
      <xdr:rowOff>-441994351</xdr:rowOff>
    </xdr:from>
    <xdr:to>
      <xdr:col>0</xdr:col>
      <xdr:colOff>5820</xdr:colOff>
      <xdr:row>0</xdr:row>
      <xdr:rowOff>-434837701</xdr:rowOff>
    </xdr:to>
    <xdr:sp macro="" textlink="">
      <xdr:nvSpPr>
        <xdr:cNvPr id="1249" name="Partial Circle 1248">
          <a:extLst>
            <a:ext uri="{FF2B5EF4-FFF2-40B4-BE49-F238E27FC236}">
              <a16:creationId xmlns:a16="http://schemas.microsoft.com/office/drawing/2014/main" id="{3EA74687-2410-41B3-B1B4-1C6EF16529CC}"/>
            </a:ext>
          </a:extLst>
        </xdr:cNvPr>
        <xdr:cNvSpPr>
          <a:spLocks noChangeAspect="1"/>
        </xdr:cNvSpPr>
      </xdr:nvSpPr>
      <xdr:spPr>
        <a:xfrm rot="11630770">
          <a:off x="2445" y="-441994351"/>
          <a:ext cx="3375" cy="715665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3587</xdr:colOff>
      <xdr:row>0</xdr:row>
      <xdr:rowOff>-441981323</xdr:rowOff>
    </xdr:from>
    <xdr:to>
      <xdr:col>0</xdr:col>
      <xdr:colOff>7151</xdr:colOff>
      <xdr:row>0</xdr:row>
      <xdr:rowOff>-435719834</xdr:rowOff>
    </xdr:to>
    <xdr:sp macro="" textlink="">
      <xdr:nvSpPr>
        <xdr:cNvPr id="1248" name="Partial Circle 1247">
          <a:extLst>
            <a:ext uri="{FF2B5EF4-FFF2-40B4-BE49-F238E27FC236}">
              <a16:creationId xmlns:a16="http://schemas.microsoft.com/office/drawing/2014/main" id="{4FF7E000-B4B6-415B-83BF-1DEDCC348FCB}"/>
            </a:ext>
          </a:extLst>
        </xdr:cNvPr>
        <xdr:cNvSpPr>
          <a:spLocks noChangeAspect="1"/>
        </xdr:cNvSpPr>
      </xdr:nvSpPr>
      <xdr:spPr>
        <a:xfrm rot="11630770">
          <a:off x="3587" y="-441981323"/>
          <a:ext cx="3564" cy="6261489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4174</xdr:colOff>
      <xdr:row>0</xdr:row>
      <xdr:rowOff>-468079126</xdr:rowOff>
    </xdr:from>
    <xdr:to>
      <xdr:col>143</xdr:col>
      <xdr:colOff>358888</xdr:colOff>
      <xdr:row>0</xdr:row>
      <xdr:rowOff>-29021962</xdr:rowOff>
    </xdr:to>
    <xdr:sp macro="" textlink="">
      <xdr:nvSpPr>
        <xdr:cNvPr id="1261" name="Partial Circle 1260">
          <a:extLst>
            <a:ext uri="{FF2B5EF4-FFF2-40B4-BE49-F238E27FC236}">
              <a16:creationId xmlns:a16="http://schemas.microsoft.com/office/drawing/2014/main" id="{9BB00BB2-D5C1-4368-A096-4A13FADC8CB1}"/>
            </a:ext>
          </a:extLst>
        </xdr:cNvPr>
        <xdr:cNvSpPr>
          <a:spLocks noChangeAspect="1"/>
        </xdr:cNvSpPr>
      </xdr:nvSpPr>
      <xdr:spPr>
        <a:xfrm rot="13292308">
          <a:off x="4174" y="-468079126"/>
          <a:ext cx="87527514" cy="439057164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5119</xdr:colOff>
      <xdr:row>0</xdr:row>
      <xdr:rowOff>-483741836</xdr:rowOff>
    </xdr:from>
    <xdr:to>
      <xdr:col>30</xdr:col>
      <xdr:colOff>331233</xdr:colOff>
      <xdr:row>0</xdr:row>
      <xdr:rowOff>-101834697</xdr:rowOff>
    </xdr:to>
    <xdr:sp macro="" textlink="">
      <xdr:nvSpPr>
        <xdr:cNvPr id="1260" name="Partial Circle 1259">
          <a:extLst>
            <a:ext uri="{FF2B5EF4-FFF2-40B4-BE49-F238E27FC236}">
              <a16:creationId xmlns:a16="http://schemas.microsoft.com/office/drawing/2014/main" id="{32D86C1F-E168-447A-ABC8-B0254BF66617}"/>
            </a:ext>
          </a:extLst>
        </xdr:cNvPr>
        <xdr:cNvSpPr>
          <a:spLocks noChangeAspect="1"/>
        </xdr:cNvSpPr>
      </xdr:nvSpPr>
      <xdr:spPr>
        <a:xfrm rot="13292308">
          <a:off x="5119" y="-483741836"/>
          <a:ext cx="18614114" cy="381907139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3522</xdr:col>
      <xdr:colOff>0</xdr:colOff>
      <xdr:row>11272</xdr:row>
      <xdr:rowOff>66675</xdr:rowOff>
    </xdr:to>
    <xdr:sp macro="" textlink="">
      <xdr:nvSpPr>
        <xdr:cNvPr id="1259" name="Partial Circle 1258">
          <a:extLst>
            <a:ext uri="{FF2B5EF4-FFF2-40B4-BE49-F238E27FC236}">
              <a16:creationId xmlns:a16="http://schemas.microsoft.com/office/drawing/2014/main" id="{FA01AC50-3F52-4F0A-9F4F-3479F861AAA0}"/>
            </a:ext>
          </a:extLst>
        </xdr:cNvPr>
        <xdr:cNvSpPr>
          <a:spLocks noChangeAspect="1"/>
        </xdr:cNvSpPr>
      </xdr:nvSpPr>
      <xdr:spPr>
        <a:xfrm rot="13292308">
          <a:off x="0" y="0"/>
          <a:ext cx="2147011200" cy="21470112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4561</xdr:colOff>
      <xdr:row>0</xdr:row>
      <xdr:rowOff>-442689254</xdr:rowOff>
    </xdr:from>
    <xdr:to>
      <xdr:col>0</xdr:col>
      <xdr:colOff>4561</xdr:colOff>
      <xdr:row>0</xdr:row>
      <xdr:rowOff>-436339254</xdr:rowOff>
    </xdr:to>
    <xdr:sp macro="" textlink="">
      <xdr:nvSpPr>
        <xdr:cNvPr id="1258" name="Partial Circle 1257">
          <a:extLst>
            <a:ext uri="{FF2B5EF4-FFF2-40B4-BE49-F238E27FC236}">
              <a16:creationId xmlns:a16="http://schemas.microsoft.com/office/drawing/2014/main" id="{3D36B333-4A1F-498C-A004-1A0B83378986}"/>
            </a:ext>
          </a:extLst>
        </xdr:cNvPr>
        <xdr:cNvSpPr>
          <a:spLocks noChangeAspect="1"/>
        </xdr:cNvSpPr>
      </xdr:nvSpPr>
      <xdr:spPr>
        <a:xfrm rot="13292308">
          <a:off x="4561" y="-442689254"/>
          <a:ext cx="0" cy="63500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1332</xdr:colOff>
      <xdr:row>0</xdr:row>
      <xdr:rowOff>-443047264</xdr:rowOff>
    </xdr:from>
    <xdr:to>
      <xdr:col>0</xdr:col>
      <xdr:colOff>3797</xdr:colOff>
      <xdr:row>0</xdr:row>
      <xdr:rowOff>-433843649</xdr:rowOff>
    </xdr:to>
    <xdr:sp macro="" textlink="">
      <xdr:nvSpPr>
        <xdr:cNvPr id="1257" name="Partial Circle 1256">
          <a:extLst>
            <a:ext uri="{FF2B5EF4-FFF2-40B4-BE49-F238E27FC236}">
              <a16:creationId xmlns:a16="http://schemas.microsoft.com/office/drawing/2014/main" id="{FDFA6322-CFB0-417A-AEAF-9398D7FB33FA}"/>
            </a:ext>
          </a:extLst>
        </xdr:cNvPr>
        <xdr:cNvSpPr>
          <a:spLocks noChangeAspect="1"/>
        </xdr:cNvSpPr>
      </xdr:nvSpPr>
      <xdr:spPr>
        <a:xfrm rot="13292308">
          <a:off x="1332" y="-443047264"/>
          <a:ext cx="2465" cy="9203615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Dec 1854</a:t>
          </a:r>
        </a:p>
      </xdr:txBody>
    </xdr:sp>
    <xdr:clientData/>
  </xdr:twoCellAnchor>
  <xdr:twoCellAnchor>
    <xdr:from>
      <xdr:col>0</xdr:col>
      <xdr:colOff>1164</xdr:colOff>
      <xdr:row>0</xdr:row>
      <xdr:rowOff>-443000465</xdr:rowOff>
    </xdr:from>
    <xdr:to>
      <xdr:col>0</xdr:col>
      <xdr:colOff>4053</xdr:colOff>
      <xdr:row>0</xdr:row>
      <xdr:rowOff>-434167901</xdr:rowOff>
    </xdr:to>
    <xdr:sp macro="" textlink="">
      <xdr:nvSpPr>
        <xdr:cNvPr id="1256" name="Partial Circle 1255">
          <a:extLst>
            <a:ext uri="{FF2B5EF4-FFF2-40B4-BE49-F238E27FC236}">
              <a16:creationId xmlns:a16="http://schemas.microsoft.com/office/drawing/2014/main" id="{B6AFF245-7184-4734-AEB2-60F250AF9D67}"/>
            </a:ext>
          </a:extLst>
        </xdr:cNvPr>
        <xdr:cNvSpPr>
          <a:spLocks noChangeAspect="1"/>
        </xdr:cNvSpPr>
      </xdr:nvSpPr>
      <xdr:spPr>
        <a:xfrm rot="13292308">
          <a:off x="1164" y="-443000465"/>
          <a:ext cx="2889" cy="8832564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1494</xdr:colOff>
      <xdr:row>0</xdr:row>
      <xdr:rowOff>-442959434</xdr:rowOff>
    </xdr:from>
    <xdr:to>
      <xdr:col>0</xdr:col>
      <xdr:colOff>5883</xdr:colOff>
      <xdr:row>0</xdr:row>
      <xdr:rowOff>-434449220</xdr:rowOff>
    </xdr:to>
    <xdr:sp macro="" textlink="">
      <xdr:nvSpPr>
        <xdr:cNvPr id="1255" name="Partial Circle 1254">
          <a:extLst>
            <a:ext uri="{FF2B5EF4-FFF2-40B4-BE49-F238E27FC236}">
              <a16:creationId xmlns:a16="http://schemas.microsoft.com/office/drawing/2014/main" id="{04F74E1F-E16C-4A98-972B-F11F0BFD0A85}"/>
            </a:ext>
          </a:extLst>
        </xdr:cNvPr>
        <xdr:cNvSpPr>
          <a:spLocks noChangeAspect="1"/>
        </xdr:cNvSpPr>
      </xdr:nvSpPr>
      <xdr:spPr>
        <a:xfrm rot="13292308">
          <a:off x="1494" y="-442959434"/>
          <a:ext cx="4389" cy="8510214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2038</xdr:colOff>
      <xdr:row>0</xdr:row>
      <xdr:rowOff>-334034815</xdr:rowOff>
    </xdr:from>
    <xdr:to>
      <xdr:col>1326</xdr:col>
      <xdr:colOff>141738</xdr:colOff>
      <xdr:row>3981</xdr:row>
      <xdr:rowOff>156160</xdr:rowOff>
    </xdr:to>
    <xdr:sp macro="" textlink="">
      <xdr:nvSpPr>
        <xdr:cNvPr id="1268" name="Partial Circle 1267">
          <a:extLst>
            <a:ext uri="{FF2B5EF4-FFF2-40B4-BE49-F238E27FC236}">
              <a16:creationId xmlns:a16="http://schemas.microsoft.com/office/drawing/2014/main" id="{146B5D4B-1E09-4119-8314-56BFB5DD2C09}"/>
            </a:ext>
          </a:extLst>
        </xdr:cNvPr>
        <xdr:cNvSpPr>
          <a:spLocks noChangeAspect="1"/>
        </xdr:cNvSpPr>
      </xdr:nvSpPr>
      <xdr:spPr>
        <a:xfrm rot="14953846">
          <a:off x="-141863312" y="-192169465"/>
          <a:ext cx="1092200000" cy="8084693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3990</xdr:colOff>
      <xdr:row>0</xdr:row>
      <xdr:rowOff>-451057354</xdr:rowOff>
    </xdr:from>
    <xdr:to>
      <xdr:col>0</xdr:col>
      <xdr:colOff>4433</xdr:colOff>
      <xdr:row>0</xdr:row>
      <xdr:rowOff>-168935936</xdr:rowOff>
    </xdr:to>
    <xdr:sp macro="" textlink="">
      <xdr:nvSpPr>
        <xdr:cNvPr id="1267" name="Partial Circle 1266">
          <a:extLst>
            <a:ext uri="{FF2B5EF4-FFF2-40B4-BE49-F238E27FC236}">
              <a16:creationId xmlns:a16="http://schemas.microsoft.com/office/drawing/2014/main" id="{79B31E80-1AD6-432A-9DBC-7D363ED3F35D}"/>
            </a:ext>
          </a:extLst>
        </xdr:cNvPr>
        <xdr:cNvSpPr>
          <a:spLocks noChangeAspect="1"/>
        </xdr:cNvSpPr>
      </xdr:nvSpPr>
      <xdr:spPr>
        <a:xfrm rot="14953846">
          <a:off x="-141056497" y="-309996867"/>
          <a:ext cx="282121418" cy="443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6957</xdr:colOff>
      <xdr:row>0</xdr:row>
      <xdr:rowOff>-154205303</xdr:rowOff>
    </xdr:from>
    <xdr:to>
      <xdr:col>3307</xdr:col>
      <xdr:colOff>83157</xdr:colOff>
      <xdr:row>10462</xdr:row>
      <xdr:rowOff>166372</xdr:rowOff>
    </xdr:to>
    <xdr:sp macro="" textlink="">
      <xdr:nvSpPr>
        <xdr:cNvPr id="1266" name="Partial Circle 1265">
          <a:extLst>
            <a:ext uri="{FF2B5EF4-FFF2-40B4-BE49-F238E27FC236}">
              <a16:creationId xmlns:a16="http://schemas.microsoft.com/office/drawing/2014/main" id="{52F8E860-6023-481C-B5EE-833C0745347D}"/>
            </a:ext>
          </a:extLst>
        </xdr:cNvPr>
        <xdr:cNvSpPr>
          <a:spLocks noChangeAspect="1"/>
        </xdr:cNvSpPr>
      </xdr:nvSpPr>
      <xdr:spPr>
        <a:xfrm rot="14953846">
          <a:off x="-65486943" y="-88711403"/>
          <a:ext cx="2147011200" cy="20160234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6110</xdr:colOff>
      <xdr:row>0</xdr:row>
      <xdr:rowOff>-442097099</xdr:rowOff>
    </xdr:from>
    <xdr:to>
      <xdr:col>0</xdr:col>
      <xdr:colOff>6110</xdr:colOff>
      <xdr:row>0</xdr:row>
      <xdr:rowOff>-435747101</xdr:rowOff>
    </xdr:to>
    <xdr:sp macro="" textlink="">
      <xdr:nvSpPr>
        <xdr:cNvPr id="1265" name="Partial Circle 1264">
          <a:extLst>
            <a:ext uri="{FF2B5EF4-FFF2-40B4-BE49-F238E27FC236}">
              <a16:creationId xmlns:a16="http://schemas.microsoft.com/office/drawing/2014/main" id="{D41762B2-2686-46C1-A879-0E46C237D3DD}"/>
            </a:ext>
          </a:extLst>
        </xdr:cNvPr>
        <xdr:cNvSpPr>
          <a:spLocks noChangeAspect="1"/>
        </xdr:cNvSpPr>
      </xdr:nvSpPr>
      <xdr:spPr>
        <a:xfrm rot="14953846">
          <a:off x="-3168889" y="-438922100"/>
          <a:ext cx="6349998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3319</xdr:colOff>
      <xdr:row>0</xdr:row>
      <xdr:rowOff>-442302859</xdr:rowOff>
    </xdr:from>
    <xdr:to>
      <xdr:col>0</xdr:col>
      <xdr:colOff>6494</xdr:colOff>
      <xdr:row>0</xdr:row>
      <xdr:rowOff>-429602859</xdr:rowOff>
    </xdr:to>
    <xdr:sp macro="" textlink="">
      <xdr:nvSpPr>
        <xdr:cNvPr id="1264" name="Partial Circle 1263">
          <a:extLst>
            <a:ext uri="{FF2B5EF4-FFF2-40B4-BE49-F238E27FC236}">
              <a16:creationId xmlns:a16="http://schemas.microsoft.com/office/drawing/2014/main" id="{DB754863-8A54-4EA4-97D4-4A17927CA5D6}"/>
            </a:ext>
          </a:extLst>
        </xdr:cNvPr>
        <xdr:cNvSpPr>
          <a:spLocks noChangeAspect="1"/>
        </xdr:cNvSpPr>
      </xdr:nvSpPr>
      <xdr:spPr>
        <a:xfrm rot="14953846">
          <a:off x="-6345093" y="-435954447"/>
          <a:ext cx="12700000" cy="3175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Jan 1855</a:t>
          </a:r>
        </a:p>
      </xdr:txBody>
    </xdr:sp>
    <xdr:clientData/>
  </xdr:twoCellAnchor>
  <xdr:twoCellAnchor>
    <xdr:from>
      <xdr:col>0</xdr:col>
      <xdr:colOff>2074</xdr:colOff>
      <xdr:row>0</xdr:row>
      <xdr:rowOff>-442273282</xdr:rowOff>
    </xdr:from>
    <xdr:to>
      <xdr:col>0</xdr:col>
      <xdr:colOff>2074</xdr:colOff>
      <xdr:row>0</xdr:row>
      <xdr:rowOff>-430500910</xdr:rowOff>
    </xdr:to>
    <xdr:sp macro="" textlink="">
      <xdr:nvSpPr>
        <xdr:cNvPr id="1263" name="Partial Circle 1262">
          <a:extLst>
            <a:ext uri="{FF2B5EF4-FFF2-40B4-BE49-F238E27FC236}">
              <a16:creationId xmlns:a16="http://schemas.microsoft.com/office/drawing/2014/main" id="{CE347289-8CA7-483D-A2BE-0CD0663AEA83}"/>
            </a:ext>
          </a:extLst>
        </xdr:cNvPr>
        <xdr:cNvSpPr>
          <a:spLocks noChangeAspect="1"/>
        </xdr:cNvSpPr>
      </xdr:nvSpPr>
      <xdr:spPr>
        <a:xfrm rot="14953846">
          <a:off x="-5884112" y="-436387096"/>
          <a:ext cx="11772372" cy="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6072</xdr:colOff>
      <xdr:row>0</xdr:row>
      <xdr:rowOff>-442265521</xdr:rowOff>
    </xdr:from>
    <xdr:to>
      <xdr:col>0</xdr:col>
      <xdr:colOff>6351</xdr:colOff>
      <xdr:row>0</xdr:row>
      <xdr:rowOff>-430730467</xdr:rowOff>
    </xdr:to>
    <xdr:sp macro="" textlink="">
      <xdr:nvSpPr>
        <xdr:cNvPr id="1262" name="Partial Circle 1261">
          <a:extLst>
            <a:ext uri="{FF2B5EF4-FFF2-40B4-BE49-F238E27FC236}">
              <a16:creationId xmlns:a16="http://schemas.microsoft.com/office/drawing/2014/main" id="{134E110A-225A-4A04-AC38-923E485AB896}"/>
            </a:ext>
          </a:extLst>
        </xdr:cNvPr>
        <xdr:cNvSpPr>
          <a:spLocks noChangeAspect="1"/>
        </xdr:cNvSpPr>
      </xdr:nvSpPr>
      <xdr:spPr>
        <a:xfrm rot="14953846">
          <a:off x="-5761315" y="-436498134"/>
          <a:ext cx="11535054" cy="279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6852</xdr:colOff>
      <xdr:row>0</xdr:row>
      <xdr:rowOff>-442443051</xdr:rowOff>
    </xdr:from>
    <xdr:to>
      <xdr:col>0</xdr:col>
      <xdr:colOff>6852</xdr:colOff>
      <xdr:row>0</xdr:row>
      <xdr:rowOff>-290950190</xdr:rowOff>
    </xdr:to>
    <xdr:sp macro="" textlink="">
      <xdr:nvSpPr>
        <xdr:cNvPr id="1274" name="Partial Circle 1273">
          <a:extLst>
            <a:ext uri="{FF2B5EF4-FFF2-40B4-BE49-F238E27FC236}">
              <a16:creationId xmlns:a16="http://schemas.microsoft.com/office/drawing/2014/main" id="{06D59919-EBF9-48F3-9AB8-8C07A751BB44}"/>
            </a:ext>
          </a:extLst>
        </xdr:cNvPr>
        <xdr:cNvSpPr>
          <a:spLocks noChangeAspect="1"/>
        </xdr:cNvSpPr>
      </xdr:nvSpPr>
      <xdr:spPr>
        <a:xfrm rot="16615384">
          <a:off x="-75739579" y="-366696620"/>
          <a:ext cx="151492861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4544</xdr:colOff>
      <xdr:row>0</xdr:row>
      <xdr:rowOff>-339626679</xdr:rowOff>
    </xdr:from>
    <xdr:to>
      <xdr:col>2996</xdr:col>
      <xdr:colOff>328394</xdr:colOff>
      <xdr:row>9489</xdr:row>
      <xdr:rowOff>101496</xdr:rowOff>
    </xdr:to>
    <xdr:sp macro="" textlink="">
      <xdr:nvSpPr>
        <xdr:cNvPr id="1273" name="Partial Circle 1272">
          <a:extLst>
            <a:ext uri="{FF2B5EF4-FFF2-40B4-BE49-F238E27FC236}">
              <a16:creationId xmlns:a16="http://schemas.microsoft.com/office/drawing/2014/main" id="{14C55204-55C4-4C07-8CF0-B27D980487FD}"/>
            </a:ext>
          </a:extLst>
        </xdr:cNvPr>
        <xdr:cNvSpPr>
          <a:spLocks noChangeAspect="1"/>
        </xdr:cNvSpPr>
      </xdr:nvSpPr>
      <xdr:spPr>
        <a:xfrm rot="16615384">
          <a:off x="-160158331" y="-179463804"/>
          <a:ext cx="2147011200" cy="182668545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154</xdr:colOff>
      <xdr:row>0</xdr:row>
      <xdr:rowOff>-441913542</xdr:rowOff>
    </xdr:from>
    <xdr:to>
      <xdr:col>0</xdr:col>
      <xdr:colOff>6504</xdr:colOff>
      <xdr:row>0</xdr:row>
      <xdr:rowOff>-435563542</xdr:rowOff>
    </xdr:to>
    <xdr:sp macro="" textlink="">
      <xdr:nvSpPr>
        <xdr:cNvPr id="1272" name="Partial Circle 1271">
          <a:extLst>
            <a:ext uri="{FF2B5EF4-FFF2-40B4-BE49-F238E27FC236}">
              <a16:creationId xmlns:a16="http://schemas.microsoft.com/office/drawing/2014/main" id="{6BEABAD4-F3F1-4E36-BBAE-65DCDCC73A5D}"/>
            </a:ext>
          </a:extLst>
        </xdr:cNvPr>
        <xdr:cNvSpPr>
          <a:spLocks noChangeAspect="1"/>
        </xdr:cNvSpPr>
      </xdr:nvSpPr>
      <xdr:spPr>
        <a:xfrm rot="16615384">
          <a:off x="-3171671" y="-438741717"/>
          <a:ext cx="6350000" cy="635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6269</xdr:colOff>
      <xdr:row>0</xdr:row>
      <xdr:rowOff>-441931598</xdr:rowOff>
    </xdr:from>
    <xdr:to>
      <xdr:col>0</xdr:col>
      <xdr:colOff>6269</xdr:colOff>
      <xdr:row>0</xdr:row>
      <xdr:rowOff>-430733582</xdr:rowOff>
    </xdr:to>
    <xdr:sp macro="" textlink="">
      <xdr:nvSpPr>
        <xdr:cNvPr id="1271" name="Partial Circle 1270">
          <a:extLst>
            <a:ext uri="{FF2B5EF4-FFF2-40B4-BE49-F238E27FC236}">
              <a16:creationId xmlns:a16="http://schemas.microsoft.com/office/drawing/2014/main" id="{E1260BD8-78F7-4F73-9FFB-07AC4990C731}"/>
            </a:ext>
          </a:extLst>
        </xdr:cNvPr>
        <xdr:cNvSpPr>
          <a:spLocks noChangeAspect="1"/>
        </xdr:cNvSpPr>
      </xdr:nvSpPr>
      <xdr:spPr>
        <a:xfrm rot="16615384">
          <a:off x="-5592739" y="-436332590"/>
          <a:ext cx="11198016" cy="0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Feb 1855</a:t>
          </a:r>
        </a:p>
      </xdr:txBody>
    </xdr:sp>
    <xdr:clientData/>
  </xdr:twoCellAnchor>
  <xdr:twoCellAnchor>
    <xdr:from>
      <xdr:col>0</xdr:col>
      <xdr:colOff>3519</xdr:colOff>
      <xdr:row>0</xdr:row>
      <xdr:rowOff>-441927650</xdr:rowOff>
    </xdr:from>
    <xdr:to>
      <xdr:col>0</xdr:col>
      <xdr:colOff>3519</xdr:colOff>
      <xdr:row>0</xdr:row>
      <xdr:rowOff>-431812640</xdr:rowOff>
    </xdr:to>
    <xdr:sp macro="" textlink="">
      <xdr:nvSpPr>
        <xdr:cNvPr id="1270" name="Partial Circle 1269">
          <a:extLst>
            <a:ext uri="{FF2B5EF4-FFF2-40B4-BE49-F238E27FC236}">
              <a16:creationId xmlns:a16="http://schemas.microsoft.com/office/drawing/2014/main" id="{7366CA8A-C7FC-4065-81CF-092E2EC788DB}"/>
            </a:ext>
          </a:extLst>
        </xdr:cNvPr>
        <xdr:cNvSpPr>
          <a:spLocks noChangeAspect="1"/>
        </xdr:cNvSpPr>
      </xdr:nvSpPr>
      <xdr:spPr>
        <a:xfrm rot="16615384">
          <a:off x="-5053986" y="-436870145"/>
          <a:ext cx="10115010" cy="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4820</xdr:colOff>
      <xdr:row>0</xdr:row>
      <xdr:rowOff>-441927191</xdr:rowOff>
    </xdr:from>
    <xdr:to>
      <xdr:col>0</xdr:col>
      <xdr:colOff>4820</xdr:colOff>
      <xdr:row>0</xdr:row>
      <xdr:rowOff>-431938184</xdr:rowOff>
    </xdr:to>
    <xdr:sp macro="" textlink="">
      <xdr:nvSpPr>
        <xdr:cNvPr id="1269" name="Partial Circle 1268">
          <a:extLst>
            <a:ext uri="{FF2B5EF4-FFF2-40B4-BE49-F238E27FC236}">
              <a16:creationId xmlns:a16="http://schemas.microsoft.com/office/drawing/2014/main" id="{EF1B991F-422D-4ADF-AF2E-EE4962B2E131}"/>
            </a:ext>
          </a:extLst>
        </xdr:cNvPr>
        <xdr:cNvSpPr>
          <a:spLocks noChangeAspect="1"/>
        </xdr:cNvSpPr>
      </xdr:nvSpPr>
      <xdr:spPr>
        <a:xfrm rot="16615384">
          <a:off x="-4989684" y="-436932687"/>
          <a:ext cx="9989007" cy="0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70</xdr:colOff>
      <xdr:row>0</xdr:row>
      <xdr:rowOff>-410256745</xdr:rowOff>
    </xdr:from>
    <xdr:to>
      <xdr:col>502</xdr:col>
      <xdr:colOff>402828</xdr:colOff>
      <xdr:row>1134</xdr:row>
      <xdr:rowOff>16288</xdr:rowOff>
    </xdr:to>
    <xdr:sp macro="" textlink="">
      <xdr:nvSpPr>
        <xdr:cNvPr id="1282" name="Partial Circle 1281">
          <a:extLst>
            <a:ext uri="{FF2B5EF4-FFF2-40B4-BE49-F238E27FC236}">
              <a16:creationId xmlns:a16="http://schemas.microsoft.com/office/drawing/2014/main" id="{512D647A-F92A-4168-921B-B546FC392BE2}"/>
            </a:ext>
          </a:extLst>
        </xdr:cNvPr>
        <xdr:cNvSpPr>
          <a:spLocks noChangeAspect="1"/>
        </xdr:cNvSpPr>
      </xdr:nvSpPr>
      <xdr:spPr>
        <a:xfrm rot="18276923">
          <a:off x="-159753230" y="-250503445"/>
          <a:ext cx="625928558" cy="306421958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2739</xdr:colOff>
      <xdr:row>0</xdr:row>
      <xdr:rowOff>-452487824</xdr:rowOff>
    </xdr:from>
    <xdr:to>
      <xdr:col>0</xdr:col>
      <xdr:colOff>6825</xdr:colOff>
      <xdr:row>0</xdr:row>
      <xdr:rowOff>-332744963</xdr:rowOff>
    </xdr:to>
    <xdr:sp macro="" textlink="">
      <xdr:nvSpPr>
        <xdr:cNvPr id="1281" name="Partial Circle 1280">
          <a:extLst>
            <a:ext uri="{FF2B5EF4-FFF2-40B4-BE49-F238E27FC236}">
              <a16:creationId xmlns:a16="http://schemas.microsoft.com/office/drawing/2014/main" id="{F949342F-7E85-48F2-909F-8BCB2744A76B}"/>
            </a:ext>
          </a:extLst>
        </xdr:cNvPr>
        <xdr:cNvSpPr>
          <a:spLocks noChangeAspect="1"/>
        </xdr:cNvSpPr>
      </xdr:nvSpPr>
      <xdr:spPr>
        <a:xfrm rot="18276923">
          <a:off x="-59866649" y="-392618436"/>
          <a:ext cx="119742861" cy="4086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94</xdr:colOff>
      <xdr:row>0</xdr:row>
      <xdr:rowOff>-28374453</xdr:rowOff>
    </xdr:from>
    <xdr:to>
      <xdr:col>3485</xdr:col>
      <xdr:colOff>457294</xdr:colOff>
      <xdr:row>11123</xdr:row>
      <xdr:rowOff>76722</xdr:rowOff>
    </xdr:to>
    <xdr:sp macro="" textlink="">
      <xdr:nvSpPr>
        <xdr:cNvPr id="1280" name="Partial Circle 1279">
          <a:extLst>
            <a:ext uri="{FF2B5EF4-FFF2-40B4-BE49-F238E27FC236}">
              <a16:creationId xmlns:a16="http://schemas.microsoft.com/office/drawing/2014/main" id="{A3A44780-7B88-4B08-BD2B-21F0BE4391D3}"/>
            </a:ext>
          </a:extLst>
        </xdr:cNvPr>
        <xdr:cNvSpPr>
          <a:spLocks noChangeAspect="1"/>
        </xdr:cNvSpPr>
      </xdr:nvSpPr>
      <xdr:spPr>
        <a:xfrm rot="18276923">
          <a:off x="-11048906" y="-17325453"/>
          <a:ext cx="2147011200" cy="212491320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4292</xdr:colOff>
      <xdr:row>0</xdr:row>
      <xdr:rowOff>-442452802</xdr:rowOff>
    </xdr:from>
    <xdr:to>
      <xdr:col>0</xdr:col>
      <xdr:colOff>4292</xdr:colOff>
      <xdr:row>0</xdr:row>
      <xdr:rowOff>-436102804</xdr:rowOff>
    </xdr:to>
    <xdr:sp macro="" textlink="">
      <xdr:nvSpPr>
        <xdr:cNvPr id="1279" name="Partial Circle 1278">
          <a:extLst>
            <a:ext uri="{FF2B5EF4-FFF2-40B4-BE49-F238E27FC236}">
              <a16:creationId xmlns:a16="http://schemas.microsoft.com/office/drawing/2014/main" id="{FB723318-A020-43EF-B0CC-E16438FB51F2}"/>
            </a:ext>
          </a:extLst>
        </xdr:cNvPr>
        <xdr:cNvSpPr>
          <a:spLocks noChangeAspect="1"/>
        </xdr:cNvSpPr>
      </xdr:nvSpPr>
      <xdr:spPr>
        <a:xfrm rot="18276923">
          <a:off x="-3170707" y="-439277803"/>
          <a:ext cx="6349998" cy="0"/>
        </a:xfrm>
        <a:prstGeom prst="pie">
          <a:avLst>
            <a:gd name="adj1" fmla="val 16200000"/>
            <a:gd name="adj2" fmla="val 17861538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751</xdr:col>
      <xdr:colOff>297564</xdr:colOff>
      <xdr:row>2405</xdr:row>
      <xdr:rowOff>135639</xdr:rowOff>
    </xdr:to>
    <xdr:sp macro="" textlink="">
      <xdr:nvSpPr>
        <xdr:cNvPr id="1504" name="Partial Circle 1503">
          <a:extLst>
            <a:ext uri="{FF2B5EF4-FFF2-40B4-BE49-F238E27FC236}">
              <a16:creationId xmlns:a16="http://schemas.microsoft.com/office/drawing/2014/main" id="{87CBC025-9F10-47B0-AA0D-CED9723FEB35}"/>
            </a:ext>
          </a:extLst>
        </xdr:cNvPr>
        <xdr:cNvSpPr>
          <a:spLocks noChangeAspect="1"/>
        </xdr:cNvSpPr>
      </xdr:nvSpPr>
      <xdr:spPr>
        <a:xfrm rot="10800000">
          <a:off x="0" y="0"/>
          <a:ext cx="458107164" cy="458107164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642</xdr:col>
      <xdr:colOff>522521</xdr:colOff>
      <xdr:row>2058</xdr:row>
      <xdr:rowOff>17696</xdr:rowOff>
    </xdr:to>
    <xdr:sp macro="" textlink="">
      <xdr:nvSpPr>
        <xdr:cNvPr id="1511" name="Partial Circle 1510">
          <a:extLst>
            <a:ext uri="{FF2B5EF4-FFF2-40B4-BE49-F238E27FC236}">
              <a16:creationId xmlns:a16="http://schemas.microsoft.com/office/drawing/2014/main" id="{67350075-7FC6-4B22-8C62-A255458ACD2C}"/>
            </a:ext>
          </a:extLst>
        </xdr:cNvPr>
        <xdr:cNvSpPr>
          <a:spLocks noChangeAspect="1"/>
        </xdr:cNvSpPr>
      </xdr:nvSpPr>
      <xdr:spPr>
        <a:xfrm rot="12600000">
          <a:off x="0" y="0"/>
          <a:ext cx="391885721" cy="391885721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1729</xdr:col>
      <xdr:colOff>101600</xdr:colOff>
      <xdr:row>5534</xdr:row>
      <xdr:rowOff>53975</xdr:rowOff>
    </xdr:to>
    <xdr:sp macro="" textlink="">
      <xdr:nvSpPr>
        <xdr:cNvPr id="1510" name="Partial Circle 1509">
          <a:extLst>
            <a:ext uri="{FF2B5EF4-FFF2-40B4-BE49-F238E27FC236}">
              <a16:creationId xmlns:a16="http://schemas.microsoft.com/office/drawing/2014/main" id="{69C72E57-A645-41FA-B072-5403895557E2}"/>
            </a:ext>
          </a:extLst>
        </xdr:cNvPr>
        <xdr:cNvSpPr>
          <a:spLocks noChangeAspect="1"/>
        </xdr:cNvSpPr>
      </xdr:nvSpPr>
      <xdr:spPr>
        <a:xfrm rot="12600000">
          <a:off x="0" y="0"/>
          <a:ext cx="1054100000" cy="10541000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3522</xdr:col>
      <xdr:colOff>0</xdr:colOff>
      <xdr:row>11271</xdr:row>
      <xdr:rowOff>66675</xdr:rowOff>
    </xdr:to>
    <xdr:sp macro="" textlink="">
      <xdr:nvSpPr>
        <xdr:cNvPr id="1509" name="Partial Circle 1508">
          <a:extLst>
            <a:ext uri="{FF2B5EF4-FFF2-40B4-BE49-F238E27FC236}">
              <a16:creationId xmlns:a16="http://schemas.microsoft.com/office/drawing/2014/main" id="{0CB20B76-94F7-4D0A-935C-DA2E2B952A0A}"/>
            </a:ext>
          </a:extLst>
        </xdr:cNvPr>
        <xdr:cNvSpPr>
          <a:spLocks noChangeAspect="1"/>
        </xdr:cNvSpPr>
      </xdr:nvSpPr>
      <xdr:spPr>
        <a:xfrm rot="12600000">
          <a:off x="0" y="0"/>
          <a:ext cx="2147011200" cy="21470112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720</xdr:col>
      <xdr:colOff>145164</xdr:colOff>
      <xdr:row>2305</xdr:row>
      <xdr:rowOff>135639</xdr:rowOff>
    </xdr:to>
    <xdr:sp macro="" textlink="">
      <xdr:nvSpPr>
        <xdr:cNvPr id="1518" name="Partial Circle 1517">
          <a:extLst>
            <a:ext uri="{FF2B5EF4-FFF2-40B4-BE49-F238E27FC236}">
              <a16:creationId xmlns:a16="http://schemas.microsoft.com/office/drawing/2014/main" id="{E440E920-1B83-4620-BECB-02FC3C28A489}"/>
            </a:ext>
          </a:extLst>
        </xdr:cNvPr>
        <xdr:cNvSpPr>
          <a:spLocks noChangeAspect="1"/>
        </xdr:cNvSpPr>
      </xdr:nvSpPr>
      <xdr:spPr>
        <a:xfrm rot="14400000">
          <a:off x="0" y="0"/>
          <a:ext cx="439057164" cy="439057164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626</xdr:col>
      <xdr:colOff>297539</xdr:colOff>
      <xdr:row>2005</xdr:row>
      <xdr:rowOff>135614</xdr:rowOff>
    </xdr:to>
    <xdr:sp macro="" textlink="">
      <xdr:nvSpPr>
        <xdr:cNvPr id="1517" name="Partial Circle 1516">
          <a:extLst>
            <a:ext uri="{FF2B5EF4-FFF2-40B4-BE49-F238E27FC236}">
              <a16:creationId xmlns:a16="http://schemas.microsoft.com/office/drawing/2014/main" id="{BB0C533D-B2D5-4678-BD2C-32232CCDE5E7}"/>
            </a:ext>
          </a:extLst>
        </xdr:cNvPr>
        <xdr:cNvSpPr>
          <a:spLocks noChangeAspect="1"/>
        </xdr:cNvSpPr>
      </xdr:nvSpPr>
      <xdr:spPr>
        <a:xfrm rot="14400000">
          <a:off x="0" y="0"/>
          <a:ext cx="381907139" cy="381907139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3522</xdr:col>
      <xdr:colOff>0</xdr:colOff>
      <xdr:row>11271</xdr:row>
      <xdr:rowOff>66675</xdr:rowOff>
    </xdr:to>
    <xdr:sp macro="" textlink="">
      <xdr:nvSpPr>
        <xdr:cNvPr id="1516" name="Partial Circle 1515">
          <a:extLst>
            <a:ext uri="{FF2B5EF4-FFF2-40B4-BE49-F238E27FC236}">
              <a16:creationId xmlns:a16="http://schemas.microsoft.com/office/drawing/2014/main" id="{C93AECF3-D6D4-44FC-8F54-680925BBD466}"/>
            </a:ext>
          </a:extLst>
        </xdr:cNvPr>
        <xdr:cNvSpPr>
          <a:spLocks noChangeAspect="1"/>
        </xdr:cNvSpPr>
      </xdr:nvSpPr>
      <xdr:spPr>
        <a:xfrm rot="14400000">
          <a:off x="0" y="0"/>
          <a:ext cx="2147011200" cy="21470112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50800</xdr:colOff>
      <xdr:row>0</xdr:row>
      <xdr:rowOff>0</xdr:rowOff>
    </xdr:from>
    <xdr:to>
      <xdr:col>1793</xdr:col>
      <xdr:colOff>457200</xdr:colOff>
      <xdr:row>5734</xdr:row>
      <xdr:rowOff>53975</xdr:rowOff>
    </xdr:to>
    <xdr:sp macro="" textlink="">
      <xdr:nvSpPr>
        <xdr:cNvPr id="1525" name="Partial Circle 1524">
          <a:extLst>
            <a:ext uri="{FF2B5EF4-FFF2-40B4-BE49-F238E27FC236}">
              <a16:creationId xmlns:a16="http://schemas.microsoft.com/office/drawing/2014/main" id="{1B1212E2-A109-4C86-A770-CA13A51AAA25}"/>
            </a:ext>
          </a:extLst>
        </xdr:cNvPr>
        <xdr:cNvSpPr>
          <a:spLocks noChangeAspect="1"/>
        </xdr:cNvSpPr>
      </xdr:nvSpPr>
      <xdr:spPr>
        <a:xfrm rot="16200000">
          <a:off x="1270000" y="0"/>
          <a:ext cx="1092200000" cy="10922000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50800</xdr:colOff>
      <xdr:row>0</xdr:row>
      <xdr:rowOff>0</xdr:rowOff>
    </xdr:from>
    <xdr:to>
      <xdr:col>464</xdr:col>
      <xdr:colOff>537018</xdr:colOff>
      <xdr:row>1481</xdr:row>
      <xdr:rowOff>171893</xdr:rowOff>
    </xdr:to>
    <xdr:sp macro="" textlink="">
      <xdr:nvSpPr>
        <xdr:cNvPr id="1524" name="Partial Circle 1523">
          <a:extLst>
            <a:ext uri="{FF2B5EF4-FFF2-40B4-BE49-F238E27FC236}">
              <a16:creationId xmlns:a16="http://schemas.microsoft.com/office/drawing/2014/main" id="{DD8B5919-4B47-4E90-91F2-D65F8DC58497}"/>
            </a:ext>
          </a:extLst>
        </xdr:cNvPr>
        <xdr:cNvSpPr>
          <a:spLocks noChangeAspect="1"/>
        </xdr:cNvSpPr>
      </xdr:nvSpPr>
      <xdr:spPr>
        <a:xfrm rot="16200000">
          <a:off x="1270000" y="0"/>
          <a:ext cx="282121418" cy="282121418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50800</xdr:colOff>
      <xdr:row>0</xdr:row>
      <xdr:rowOff>0</xdr:rowOff>
    </xdr:from>
    <xdr:to>
      <xdr:col>3524</xdr:col>
      <xdr:colOff>50800</xdr:colOff>
      <xdr:row>11271</xdr:row>
      <xdr:rowOff>66675</xdr:rowOff>
    </xdr:to>
    <xdr:sp macro="" textlink="">
      <xdr:nvSpPr>
        <xdr:cNvPr id="1523" name="Partial Circle 1522">
          <a:extLst>
            <a:ext uri="{FF2B5EF4-FFF2-40B4-BE49-F238E27FC236}">
              <a16:creationId xmlns:a16="http://schemas.microsoft.com/office/drawing/2014/main" id="{D651C68C-7451-4F4C-B54A-F8DCFB049392}"/>
            </a:ext>
          </a:extLst>
        </xdr:cNvPr>
        <xdr:cNvSpPr>
          <a:spLocks noChangeAspect="1"/>
        </xdr:cNvSpPr>
      </xdr:nvSpPr>
      <xdr:spPr>
        <a:xfrm rot="16200000">
          <a:off x="1270000" y="0"/>
          <a:ext cx="2147011200" cy="21470112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382</xdr:col>
      <xdr:colOff>496886</xdr:colOff>
      <xdr:row>0</xdr:row>
      <xdr:rowOff>0</xdr:rowOff>
    </xdr:from>
    <xdr:to>
      <xdr:col>2473</xdr:col>
      <xdr:colOff>358959</xdr:colOff>
      <xdr:row>6691</xdr:row>
      <xdr:rowOff>81148</xdr:rowOff>
    </xdr:to>
    <xdr:sp macro="" textlink="">
      <xdr:nvSpPr>
        <xdr:cNvPr id="1532" name="Partial Circle 1531">
          <a:extLst>
            <a:ext uri="{FF2B5EF4-FFF2-40B4-BE49-F238E27FC236}">
              <a16:creationId xmlns:a16="http://schemas.microsoft.com/office/drawing/2014/main" id="{EB13B30F-C8BE-4788-9129-9018D1841AD3}"/>
            </a:ext>
          </a:extLst>
        </xdr:cNvPr>
        <xdr:cNvSpPr>
          <a:spLocks noChangeAspect="1"/>
        </xdr:cNvSpPr>
      </xdr:nvSpPr>
      <xdr:spPr>
        <a:xfrm rot="18000000">
          <a:off x="233364086" y="0"/>
          <a:ext cx="1274535673" cy="1274535673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400987</xdr:colOff>
      <xdr:row>0</xdr:row>
      <xdr:rowOff>0</xdr:rowOff>
    </xdr:from>
    <xdr:to>
      <xdr:col>294</xdr:col>
      <xdr:colOff>103448</xdr:colOff>
      <xdr:row>796</xdr:row>
      <xdr:rowOff>35836</xdr:rowOff>
    </xdr:to>
    <xdr:sp macro="" textlink="">
      <xdr:nvSpPr>
        <xdr:cNvPr id="1531" name="Partial Circle 1530">
          <a:extLst>
            <a:ext uri="{FF2B5EF4-FFF2-40B4-BE49-F238E27FC236}">
              <a16:creationId xmlns:a16="http://schemas.microsoft.com/office/drawing/2014/main" id="{F77A9EB7-8805-4BC7-9694-6BCAEDCF5E48}"/>
            </a:ext>
          </a:extLst>
        </xdr:cNvPr>
        <xdr:cNvSpPr>
          <a:spLocks noChangeAspect="1"/>
        </xdr:cNvSpPr>
      </xdr:nvSpPr>
      <xdr:spPr>
        <a:xfrm rot="18000000">
          <a:off x="27832987" y="0"/>
          <a:ext cx="151492861" cy="151492861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644</xdr:col>
      <xdr:colOff>455790</xdr:colOff>
      <xdr:row>0</xdr:row>
      <xdr:rowOff>0</xdr:rowOff>
    </xdr:from>
    <xdr:to>
      <xdr:col>4166</xdr:col>
      <xdr:colOff>455790</xdr:colOff>
      <xdr:row>11271</xdr:row>
      <xdr:rowOff>66675</xdr:rowOff>
    </xdr:to>
    <xdr:sp macro="" textlink="">
      <xdr:nvSpPr>
        <xdr:cNvPr id="1530" name="Partial Circle 1529">
          <a:extLst>
            <a:ext uri="{FF2B5EF4-FFF2-40B4-BE49-F238E27FC236}">
              <a16:creationId xmlns:a16="http://schemas.microsoft.com/office/drawing/2014/main" id="{CD0CA652-F883-4407-8A70-DC1A70E51B46}"/>
            </a:ext>
          </a:extLst>
        </xdr:cNvPr>
        <xdr:cNvSpPr>
          <a:spLocks noChangeAspect="1"/>
        </xdr:cNvSpPr>
      </xdr:nvSpPr>
      <xdr:spPr>
        <a:xfrm rot="18000000">
          <a:off x="393038190" y="0"/>
          <a:ext cx="2147011200" cy="21470112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188</xdr:col>
      <xdr:colOff>55946</xdr:colOff>
      <xdr:row>0</xdr:row>
      <xdr:rowOff>0</xdr:rowOff>
    </xdr:from>
    <xdr:to>
      <xdr:col>1214</xdr:col>
      <xdr:colOff>534904</xdr:colOff>
      <xdr:row>3286</xdr:row>
      <xdr:rowOff>126533</xdr:rowOff>
    </xdr:to>
    <xdr:sp macro="" textlink="">
      <xdr:nvSpPr>
        <xdr:cNvPr id="1539" name="Partial Circle 1538">
          <a:extLst>
            <a:ext uri="{FF2B5EF4-FFF2-40B4-BE49-F238E27FC236}">
              <a16:creationId xmlns:a16="http://schemas.microsoft.com/office/drawing/2014/main" id="{4FA3E82E-F260-405E-8F3D-08F196C9BCF1}"/>
            </a:ext>
          </a:extLst>
        </xdr:cNvPr>
        <xdr:cNvSpPr>
          <a:spLocks noChangeAspect="1"/>
        </xdr:cNvSpPr>
      </xdr:nvSpPr>
      <xdr:spPr>
        <a:xfrm rot="19800000">
          <a:off x="114660746" y="0"/>
          <a:ext cx="625928558" cy="625928558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76734</xdr:colOff>
      <xdr:row>0</xdr:row>
      <xdr:rowOff>0</xdr:rowOff>
    </xdr:from>
    <xdr:to>
      <xdr:col>232</xdr:col>
      <xdr:colOff>337995</xdr:colOff>
      <xdr:row>629</xdr:row>
      <xdr:rowOff>99336</xdr:rowOff>
    </xdr:to>
    <xdr:sp macro="" textlink="">
      <xdr:nvSpPr>
        <xdr:cNvPr id="1538" name="Partial Circle 1537">
          <a:extLst>
            <a:ext uri="{FF2B5EF4-FFF2-40B4-BE49-F238E27FC236}">
              <a16:creationId xmlns:a16="http://schemas.microsoft.com/office/drawing/2014/main" id="{5092EB06-B509-474C-8F24-DF1608B53E07}"/>
            </a:ext>
          </a:extLst>
        </xdr:cNvPr>
        <xdr:cNvSpPr>
          <a:spLocks noChangeAspect="1"/>
        </xdr:cNvSpPr>
      </xdr:nvSpPr>
      <xdr:spPr>
        <a:xfrm rot="19800000">
          <a:off x="22022334" y="0"/>
          <a:ext cx="119742861" cy="119742861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644</xdr:col>
      <xdr:colOff>455790</xdr:colOff>
      <xdr:row>0</xdr:row>
      <xdr:rowOff>0</xdr:rowOff>
    </xdr:from>
    <xdr:to>
      <xdr:col>4166</xdr:col>
      <xdr:colOff>455790</xdr:colOff>
      <xdr:row>11271</xdr:row>
      <xdr:rowOff>66675</xdr:rowOff>
    </xdr:to>
    <xdr:sp macro="" textlink="">
      <xdr:nvSpPr>
        <xdr:cNvPr id="1537" name="Partial Circle 1536">
          <a:extLst>
            <a:ext uri="{FF2B5EF4-FFF2-40B4-BE49-F238E27FC236}">
              <a16:creationId xmlns:a16="http://schemas.microsoft.com/office/drawing/2014/main" id="{5F272FE8-F760-4D41-B906-34228AA00861}"/>
            </a:ext>
          </a:extLst>
        </xdr:cNvPr>
        <xdr:cNvSpPr>
          <a:spLocks noChangeAspect="1"/>
        </xdr:cNvSpPr>
      </xdr:nvSpPr>
      <xdr:spPr>
        <a:xfrm rot="19800000">
          <a:off x="393038190" y="0"/>
          <a:ext cx="2147011200" cy="2147011200"/>
        </a:xfrm>
        <a:prstGeom prst="pie">
          <a:avLst>
            <a:gd name="adj1" fmla="val 16200000"/>
            <a:gd name="adj2" fmla="val 18000000"/>
          </a:avLst>
        </a:prstGeom>
        <a:solidFill>
          <a:srgbClr val="FFFFFF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7539</xdr:colOff>
      <xdr:row>0</xdr:row>
      <xdr:rowOff>-442596242</xdr:rowOff>
    </xdr:from>
    <xdr:to>
      <xdr:col>0</xdr:col>
      <xdr:colOff>7539</xdr:colOff>
      <xdr:row>0</xdr:row>
      <xdr:rowOff>-434625600</xdr:rowOff>
    </xdr:to>
    <xdr:sp macro="" textlink="">
      <xdr:nvSpPr>
        <xdr:cNvPr id="1278" name="Partial Circle 1277">
          <a:extLst>
            <a:ext uri="{FF2B5EF4-FFF2-40B4-BE49-F238E27FC236}">
              <a16:creationId xmlns:a16="http://schemas.microsoft.com/office/drawing/2014/main" id="{E879ACDC-2E37-419D-A915-6F81BFEFEE4A}"/>
            </a:ext>
          </a:extLst>
        </xdr:cNvPr>
        <xdr:cNvSpPr>
          <a:spLocks noChangeAspect="1"/>
        </xdr:cNvSpPr>
      </xdr:nvSpPr>
      <xdr:spPr>
        <a:xfrm rot="18276923">
          <a:off x="-3977782" y="-438610921"/>
          <a:ext cx="7970642" cy="0"/>
        </a:xfrm>
        <a:prstGeom prst="pie">
          <a:avLst>
            <a:gd name="adj1" fmla="val 16200000"/>
            <a:gd name="adj2" fmla="val 17861538"/>
          </a:avLst>
        </a:prstGeom>
        <a:solidFill>
          <a:srgbClr val="C65911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tx1"/>
              </a:solidFill>
            </a:rPr>
            <a:t>                                         Mar 1855</a:t>
          </a:r>
        </a:p>
      </xdr:txBody>
    </xdr:sp>
    <xdr:clientData/>
  </xdr:twoCellAnchor>
  <xdr:twoCellAnchor>
    <xdr:from>
      <xdr:col>0</xdr:col>
      <xdr:colOff>5419</xdr:colOff>
      <xdr:row>0</xdr:row>
      <xdr:rowOff>-442549306</xdr:rowOff>
    </xdr:from>
    <xdr:to>
      <xdr:col>0</xdr:col>
      <xdr:colOff>5419</xdr:colOff>
      <xdr:row>0</xdr:row>
      <xdr:rowOff>-435108956</xdr:rowOff>
    </xdr:to>
    <xdr:sp macro="" textlink="">
      <xdr:nvSpPr>
        <xdr:cNvPr id="1277" name="Partial Circle 1276">
          <a:extLst>
            <a:ext uri="{FF2B5EF4-FFF2-40B4-BE49-F238E27FC236}">
              <a16:creationId xmlns:a16="http://schemas.microsoft.com/office/drawing/2014/main" id="{89595E0D-2136-46A4-9E52-AABC69405D54}"/>
            </a:ext>
          </a:extLst>
        </xdr:cNvPr>
        <xdr:cNvSpPr>
          <a:spLocks noChangeAspect="1"/>
        </xdr:cNvSpPr>
      </xdr:nvSpPr>
      <xdr:spPr>
        <a:xfrm rot="18276923">
          <a:off x="-3714756" y="-438829131"/>
          <a:ext cx="7440350" cy="0"/>
        </a:xfrm>
        <a:prstGeom prst="pie">
          <a:avLst>
            <a:gd name="adj1" fmla="val 16200000"/>
            <a:gd name="adj2" fmla="val 17861538"/>
          </a:avLst>
        </a:prstGeom>
        <a:solidFill>
          <a:srgbClr val="F8CBAD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8036</xdr:colOff>
      <xdr:row>0</xdr:row>
      <xdr:rowOff>-442540549</xdr:rowOff>
    </xdr:from>
    <xdr:to>
      <xdr:col>0</xdr:col>
      <xdr:colOff>8036</xdr:colOff>
      <xdr:row>0</xdr:row>
      <xdr:rowOff>-435199146</xdr:rowOff>
    </xdr:to>
    <xdr:sp macro="" textlink="">
      <xdr:nvSpPr>
        <xdr:cNvPr id="1276" name="Partial Circle 1275">
          <a:extLst>
            <a:ext uri="{FF2B5EF4-FFF2-40B4-BE49-F238E27FC236}">
              <a16:creationId xmlns:a16="http://schemas.microsoft.com/office/drawing/2014/main" id="{56C6C02A-F59D-4616-AA01-E9E4B80D6C30}"/>
            </a:ext>
          </a:extLst>
        </xdr:cNvPr>
        <xdr:cNvSpPr>
          <a:spLocks noChangeAspect="1"/>
        </xdr:cNvSpPr>
      </xdr:nvSpPr>
      <xdr:spPr>
        <a:xfrm rot="18276923">
          <a:off x="-3662666" y="-438869847"/>
          <a:ext cx="7341403" cy="0"/>
        </a:xfrm>
        <a:prstGeom prst="pie">
          <a:avLst>
            <a:gd name="adj1" fmla="val 16200000"/>
            <a:gd name="adj2" fmla="val 17861538"/>
          </a:avLst>
        </a:prstGeom>
        <a:solidFill>
          <a:srgbClr val="FFF2CC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333375</xdr:colOff>
      <xdr:row>29</xdr:row>
      <xdr:rowOff>158750</xdr:rowOff>
    </xdr:from>
    <xdr:to>
      <xdr:col>33</xdr:col>
      <xdr:colOff>555625</xdr:colOff>
      <xdr:row>41</xdr:row>
      <xdr:rowOff>63500</xdr:rowOff>
    </xdr:to>
    <xdr:sp macro="" textlink="">
      <xdr:nvSpPr>
        <xdr:cNvPr id="921" name="TextBox 920">
          <a:extLst>
            <a:ext uri="{FF2B5EF4-FFF2-40B4-BE49-F238E27FC236}">
              <a16:creationId xmlns:a16="http://schemas.microsoft.com/office/drawing/2014/main" id="{E9FC6153-2A80-4DC4-AF01-BA9E2616A1A2}"/>
            </a:ext>
          </a:extLst>
        </xdr:cNvPr>
        <xdr:cNvSpPr txBox="1"/>
      </xdr:nvSpPr>
      <xdr:spPr>
        <a:xfrm>
          <a:off x="16017875" y="5318125"/>
          <a:ext cx="4445000" cy="2190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bcdbhbdfh</a:t>
          </a:r>
        </a:p>
      </xdr:txBody>
    </xdr:sp>
    <xdr:clientData/>
  </xdr:twoCellAnchor>
  <xdr:twoCellAnchor>
    <xdr:from>
      <xdr:col>0</xdr:col>
      <xdr:colOff>2549</xdr:colOff>
      <xdr:row>0</xdr:row>
      <xdr:rowOff>-441890776</xdr:rowOff>
    </xdr:from>
    <xdr:to>
      <xdr:col>0</xdr:col>
      <xdr:colOff>8899</xdr:colOff>
      <xdr:row>0</xdr:row>
      <xdr:rowOff>-434016776</xdr:rowOff>
    </xdr:to>
    <xdr:sp macro="" textlink="">
      <xdr:nvSpPr>
        <xdr:cNvPr id="1283" name="Flowchart: Connector 1282">
          <a:extLst>
            <a:ext uri="{FF2B5EF4-FFF2-40B4-BE49-F238E27FC236}">
              <a16:creationId xmlns:a16="http://schemas.microsoft.com/office/drawing/2014/main" id="{F9AA74F1-70AB-4B68-BD46-D02D4CFB060C}"/>
            </a:ext>
          </a:extLst>
        </xdr:cNvPr>
        <xdr:cNvSpPr/>
      </xdr:nvSpPr>
      <xdr:spPr>
        <a:xfrm>
          <a:off x="2549" y="-441890776"/>
          <a:ext cx="6350" cy="7874000"/>
        </a:xfrm>
        <a:prstGeom prst="flowChartConnector">
          <a:avLst/>
        </a:prstGeom>
        <a:noFill/>
        <a:ln w="0" cap="flat" cmpd="sng" algn="ctr">
          <a:solidFill>
            <a:srgbClr val="FFFF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43582</xdr:rowOff>
    </xdr:from>
    <xdr:to>
      <xdr:col>9</xdr:col>
      <xdr:colOff>155121</xdr:colOff>
      <xdr:row>53</xdr:row>
      <xdr:rowOff>43582</xdr:rowOff>
    </xdr:to>
    <xdr:grpSp>
      <xdr:nvGrpSpPr>
        <xdr:cNvPr id="1341" name="group1">
          <a:extLst>
            <a:ext uri="{FF2B5EF4-FFF2-40B4-BE49-F238E27FC236}">
              <a16:creationId xmlns:a16="http://schemas.microsoft.com/office/drawing/2014/main" id="{9F619C3F-F723-41AB-BC34-BB15A06A2715}"/>
            </a:ext>
          </a:extLst>
        </xdr:cNvPr>
        <xdr:cNvGrpSpPr/>
      </xdr:nvGrpSpPr>
      <xdr:grpSpPr>
        <a:xfrm>
          <a:off x="0" y="2533689"/>
          <a:ext cx="7652657" cy="7620000"/>
          <a:chOff x="3747722" y="1890071"/>
          <a:chExt cx="7620000" cy="7620000"/>
        </a:xfrm>
      </xdr:grpSpPr>
      <xdr:sp macro="" textlink="">
        <xdr:nvSpPr>
          <xdr:cNvPr id="1312" name="Partial Circle 1311">
            <a:extLst>
              <a:ext uri="{FF2B5EF4-FFF2-40B4-BE49-F238E27FC236}">
                <a16:creationId xmlns:a16="http://schemas.microsoft.com/office/drawing/2014/main" id="{4D35792F-50CC-4570-9209-B7F40CEC4914}"/>
              </a:ext>
            </a:extLst>
          </xdr:cNvPr>
          <xdr:cNvSpPr>
            <a:spLocks noChangeAspect="1"/>
          </xdr:cNvSpPr>
        </xdr:nvSpPr>
        <xdr:spPr>
          <a:xfrm rot="3600000">
            <a:off x="3747722" y="1890071"/>
            <a:ext cx="7620000" cy="762000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1" name="Partial Circle 1310">
            <a:extLst>
              <a:ext uri="{FF2B5EF4-FFF2-40B4-BE49-F238E27FC236}">
                <a16:creationId xmlns:a16="http://schemas.microsoft.com/office/drawing/2014/main" id="{F801DA07-D646-471E-8CE0-89E3E825C7B7}"/>
              </a:ext>
            </a:extLst>
          </xdr:cNvPr>
          <xdr:cNvSpPr>
            <a:spLocks noChangeAspect="1"/>
          </xdr:cNvSpPr>
        </xdr:nvSpPr>
        <xdr:spPr>
          <a:xfrm rot="3600000">
            <a:off x="3828934" y="1971283"/>
            <a:ext cx="7457577" cy="745757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0" name="Partial Circle 1309">
            <a:extLst>
              <a:ext uri="{FF2B5EF4-FFF2-40B4-BE49-F238E27FC236}">
                <a16:creationId xmlns:a16="http://schemas.microsoft.com/office/drawing/2014/main" id="{132AA5EC-1733-4DAC-A5A8-9021F6E819C4}"/>
              </a:ext>
            </a:extLst>
          </xdr:cNvPr>
          <xdr:cNvSpPr>
            <a:spLocks noChangeAspect="1"/>
          </xdr:cNvSpPr>
        </xdr:nvSpPr>
        <xdr:spPr>
          <a:xfrm rot="3600000">
            <a:off x="4374573" y="2516922"/>
            <a:ext cx="6366299" cy="636629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                                  Jun '55</a:t>
            </a:r>
          </a:p>
        </xdr:txBody>
      </xdr:sp>
      <xdr:sp macro="" textlink="">
        <xdr:nvSpPr>
          <xdr:cNvPr id="1315" name="Partial Circle 1314">
            <a:extLst>
              <a:ext uri="{FF2B5EF4-FFF2-40B4-BE49-F238E27FC236}">
                <a16:creationId xmlns:a16="http://schemas.microsoft.com/office/drawing/2014/main" id="{06D1D8D6-8970-466A-9CBB-5764DE19DC78}"/>
              </a:ext>
            </a:extLst>
          </xdr:cNvPr>
          <xdr:cNvSpPr>
            <a:spLocks noChangeAspect="1"/>
          </xdr:cNvSpPr>
        </xdr:nvSpPr>
        <xdr:spPr>
          <a:xfrm rot="5400000">
            <a:off x="5162154" y="3304503"/>
            <a:ext cx="4791136" cy="4791136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4" name="Partial Circle 1313">
            <a:extLst>
              <a:ext uri="{FF2B5EF4-FFF2-40B4-BE49-F238E27FC236}">
                <a16:creationId xmlns:a16="http://schemas.microsoft.com/office/drawing/2014/main" id="{F3573410-D152-428C-AE40-6507D8710C39}"/>
              </a:ext>
            </a:extLst>
          </xdr:cNvPr>
          <xdr:cNvSpPr>
            <a:spLocks noChangeAspect="1"/>
          </xdr:cNvSpPr>
        </xdr:nvSpPr>
        <xdr:spPr>
          <a:xfrm rot="5400000">
            <a:off x="5240828" y="3383177"/>
            <a:ext cx="4633788" cy="463378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3" name="Partial Circle 1312">
            <a:extLst>
              <a:ext uri="{FF2B5EF4-FFF2-40B4-BE49-F238E27FC236}">
                <a16:creationId xmlns:a16="http://schemas.microsoft.com/office/drawing/2014/main" id="{1CE924D4-8895-4661-BA98-617813BD97F7}"/>
              </a:ext>
            </a:extLst>
          </xdr:cNvPr>
          <xdr:cNvSpPr>
            <a:spLocks noChangeAspect="1"/>
          </xdr:cNvSpPr>
        </xdr:nvSpPr>
        <xdr:spPr>
          <a:xfrm rot="5400000">
            <a:off x="5559752" y="3702101"/>
            <a:ext cx="3995940" cy="399594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Jul'55</a:t>
            </a:r>
          </a:p>
        </xdr:txBody>
      </xdr:sp>
      <xdr:sp macro="" textlink="">
        <xdr:nvSpPr>
          <xdr:cNvPr id="1318" name="Partial Circle 1317">
            <a:extLst>
              <a:ext uri="{FF2B5EF4-FFF2-40B4-BE49-F238E27FC236}">
                <a16:creationId xmlns:a16="http://schemas.microsoft.com/office/drawing/2014/main" id="{8F517177-E19F-464A-8468-4F214CAEDF10}"/>
              </a:ext>
            </a:extLst>
          </xdr:cNvPr>
          <xdr:cNvSpPr>
            <a:spLocks noChangeAspect="1"/>
          </xdr:cNvSpPr>
        </xdr:nvSpPr>
        <xdr:spPr>
          <a:xfrm rot="7200000">
            <a:off x="4940515" y="3082864"/>
            <a:ext cx="5234414" cy="5234414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7" name="Partial Circle 1316">
            <a:extLst>
              <a:ext uri="{FF2B5EF4-FFF2-40B4-BE49-F238E27FC236}">
                <a16:creationId xmlns:a16="http://schemas.microsoft.com/office/drawing/2014/main" id="{C067C941-EAD0-40F5-BF48-B715EE14D21E}"/>
              </a:ext>
            </a:extLst>
          </xdr:cNvPr>
          <xdr:cNvSpPr>
            <a:spLocks noChangeAspect="1"/>
          </xdr:cNvSpPr>
        </xdr:nvSpPr>
        <xdr:spPr>
          <a:xfrm rot="7200000">
            <a:off x="4997194" y="3139543"/>
            <a:ext cx="5121057" cy="512105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6" name="Partial Circle 1315">
            <a:extLst>
              <a:ext uri="{FF2B5EF4-FFF2-40B4-BE49-F238E27FC236}">
                <a16:creationId xmlns:a16="http://schemas.microsoft.com/office/drawing/2014/main" id="{312CDBCC-9940-48B5-B82B-D0926F1F2688}"/>
              </a:ext>
            </a:extLst>
          </xdr:cNvPr>
          <xdr:cNvSpPr>
            <a:spLocks noChangeAspect="1"/>
          </xdr:cNvSpPr>
        </xdr:nvSpPr>
        <xdr:spPr>
          <a:xfrm rot="7200000">
            <a:off x="5370259" y="3512608"/>
            <a:ext cx="4374927" cy="437492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Aug'55</a:t>
            </a:r>
          </a:p>
        </xdr:txBody>
      </xdr:sp>
      <xdr:sp macro="" textlink="">
        <xdr:nvSpPr>
          <xdr:cNvPr id="1321" name="Partial Circle 1320">
            <a:extLst>
              <a:ext uri="{FF2B5EF4-FFF2-40B4-BE49-F238E27FC236}">
                <a16:creationId xmlns:a16="http://schemas.microsoft.com/office/drawing/2014/main" id="{482726A3-C11E-49F0-98BD-F5137ED91549}"/>
              </a:ext>
            </a:extLst>
          </xdr:cNvPr>
          <xdr:cNvSpPr>
            <a:spLocks noChangeAspect="1"/>
          </xdr:cNvSpPr>
        </xdr:nvSpPr>
        <xdr:spPr>
          <a:xfrm rot="9000000">
            <a:off x="5437935" y="3580284"/>
            <a:ext cx="4239575" cy="4239575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0" name="Partial Circle 1319">
            <a:extLst>
              <a:ext uri="{FF2B5EF4-FFF2-40B4-BE49-F238E27FC236}">
                <a16:creationId xmlns:a16="http://schemas.microsoft.com/office/drawing/2014/main" id="{A1924173-5508-4466-AE8B-4E5D66F4A6D6}"/>
              </a:ext>
            </a:extLst>
          </xdr:cNvPr>
          <xdr:cNvSpPr>
            <a:spLocks noChangeAspect="1"/>
          </xdr:cNvSpPr>
        </xdr:nvSpPr>
        <xdr:spPr>
          <a:xfrm rot="9000000">
            <a:off x="5480233" y="3622582"/>
            <a:ext cx="4154979" cy="415497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19" name="Partial Circle 1318">
            <a:extLst>
              <a:ext uri="{FF2B5EF4-FFF2-40B4-BE49-F238E27FC236}">
                <a16:creationId xmlns:a16="http://schemas.microsoft.com/office/drawing/2014/main" id="{1BE2A4DE-63CD-4977-8FA9-08AA619681FE}"/>
              </a:ext>
            </a:extLst>
          </xdr:cNvPr>
          <xdr:cNvSpPr>
            <a:spLocks noChangeAspect="1"/>
          </xdr:cNvSpPr>
        </xdr:nvSpPr>
        <xdr:spPr>
          <a:xfrm rot="9000000">
            <a:off x="6067323" y="4209672"/>
            <a:ext cx="2980798" cy="298079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Sep'55</a:t>
            </a:r>
          </a:p>
        </xdr:txBody>
      </xdr:sp>
      <xdr:sp macro="" textlink="">
        <xdr:nvSpPr>
          <xdr:cNvPr id="1324" name="Partial Circle 1323">
            <a:extLst>
              <a:ext uri="{FF2B5EF4-FFF2-40B4-BE49-F238E27FC236}">
                <a16:creationId xmlns:a16="http://schemas.microsoft.com/office/drawing/2014/main" id="{E6CB9B18-B7C2-4930-BBE5-37D94EEE8388}"/>
              </a:ext>
            </a:extLst>
          </xdr:cNvPr>
          <xdr:cNvSpPr>
            <a:spLocks noChangeAspect="1"/>
          </xdr:cNvSpPr>
        </xdr:nvSpPr>
        <xdr:spPr>
          <a:xfrm rot="10800000">
            <a:off x="6037715" y="4180064"/>
            <a:ext cx="3040014" cy="3040014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3" name="Partial Circle 1322">
            <a:extLst>
              <a:ext uri="{FF2B5EF4-FFF2-40B4-BE49-F238E27FC236}">
                <a16:creationId xmlns:a16="http://schemas.microsoft.com/office/drawing/2014/main" id="{E7B51C5B-E77A-473E-93A4-3398774DAD25}"/>
              </a:ext>
            </a:extLst>
          </xdr:cNvPr>
          <xdr:cNvSpPr>
            <a:spLocks noChangeAspect="1"/>
          </xdr:cNvSpPr>
        </xdr:nvSpPr>
        <xdr:spPr>
          <a:xfrm rot="10800000">
            <a:off x="6076629" y="4218978"/>
            <a:ext cx="2962187" cy="296218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2" name="Partial Circle 1321">
            <a:extLst>
              <a:ext uri="{FF2B5EF4-FFF2-40B4-BE49-F238E27FC236}">
                <a16:creationId xmlns:a16="http://schemas.microsoft.com/office/drawing/2014/main" id="{8A236D3B-3887-4949-BC16-19F3F367BF4A}"/>
              </a:ext>
            </a:extLst>
          </xdr:cNvPr>
          <xdr:cNvSpPr>
            <a:spLocks noChangeAspect="1"/>
          </xdr:cNvSpPr>
        </xdr:nvSpPr>
        <xdr:spPr>
          <a:xfrm rot="10800000">
            <a:off x="6191678" y="4334027"/>
            <a:ext cx="2732088" cy="273208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Oct'55</a:t>
            </a:r>
          </a:p>
        </xdr:txBody>
      </xdr:sp>
      <xdr:sp macro="" textlink="">
        <xdr:nvSpPr>
          <xdr:cNvPr id="1327" name="Partial Circle 1326">
            <a:extLst>
              <a:ext uri="{FF2B5EF4-FFF2-40B4-BE49-F238E27FC236}">
                <a16:creationId xmlns:a16="http://schemas.microsoft.com/office/drawing/2014/main" id="{CB35FB65-6D81-4803-BC14-BC8F56FA41E9}"/>
              </a:ext>
            </a:extLst>
          </xdr:cNvPr>
          <xdr:cNvSpPr>
            <a:spLocks noChangeAspect="1"/>
          </xdr:cNvSpPr>
        </xdr:nvSpPr>
        <xdr:spPr>
          <a:xfrm rot="12600000">
            <a:off x="5817768" y="3960117"/>
            <a:ext cx="3479909" cy="347990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6" name="Partial Circle 1325">
            <a:extLst>
              <a:ext uri="{FF2B5EF4-FFF2-40B4-BE49-F238E27FC236}">
                <a16:creationId xmlns:a16="http://schemas.microsoft.com/office/drawing/2014/main" id="{34ECDFCD-9EAC-42F0-82A5-A76BDFD2AE31}"/>
              </a:ext>
            </a:extLst>
          </xdr:cNvPr>
          <xdr:cNvSpPr>
            <a:spLocks noChangeAspect="1"/>
          </xdr:cNvSpPr>
        </xdr:nvSpPr>
        <xdr:spPr>
          <a:xfrm rot="12600000">
            <a:off x="5903209" y="4045558"/>
            <a:ext cx="3309027" cy="330902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5" name="Partial Circle 1324">
            <a:extLst>
              <a:ext uri="{FF2B5EF4-FFF2-40B4-BE49-F238E27FC236}">
                <a16:creationId xmlns:a16="http://schemas.microsoft.com/office/drawing/2014/main" id="{EE0DD6E3-00FE-4A2D-A60A-54E923DE3842}"/>
              </a:ext>
            </a:extLst>
          </xdr:cNvPr>
          <xdr:cNvSpPr>
            <a:spLocks noChangeAspect="1"/>
          </xdr:cNvSpPr>
        </xdr:nvSpPr>
        <xdr:spPr>
          <a:xfrm rot="12600000">
            <a:off x="5992034" y="4134383"/>
            <a:ext cx="3131377" cy="313137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Nov'55</a:t>
            </a:r>
          </a:p>
        </xdr:txBody>
      </xdr:sp>
      <xdr:sp macro="" textlink="">
        <xdr:nvSpPr>
          <xdr:cNvPr id="1330" name="Partial Circle 1329">
            <a:extLst>
              <a:ext uri="{FF2B5EF4-FFF2-40B4-BE49-F238E27FC236}">
                <a16:creationId xmlns:a16="http://schemas.microsoft.com/office/drawing/2014/main" id="{F5DC0679-907F-49A8-BCCB-C251661B3FBB}"/>
              </a:ext>
            </a:extLst>
          </xdr:cNvPr>
          <xdr:cNvSpPr>
            <a:spLocks noChangeAspect="1"/>
          </xdr:cNvSpPr>
        </xdr:nvSpPr>
        <xdr:spPr>
          <a:xfrm rot="14400000">
            <a:off x="6146843" y="4289192"/>
            <a:ext cx="2821758" cy="282175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9" name="Partial Circle 1328">
            <a:extLst>
              <a:ext uri="{FF2B5EF4-FFF2-40B4-BE49-F238E27FC236}">
                <a16:creationId xmlns:a16="http://schemas.microsoft.com/office/drawing/2014/main" id="{56001E30-3C93-4A02-9778-8A0BA73B6F4F}"/>
              </a:ext>
            </a:extLst>
          </xdr:cNvPr>
          <xdr:cNvSpPr>
            <a:spLocks noChangeAspect="1"/>
          </xdr:cNvSpPr>
        </xdr:nvSpPr>
        <xdr:spPr>
          <a:xfrm rot="14400000">
            <a:off x="6212827" y="4355176"/>
            <a:ext cx="2689790" cy="268979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28" name="Partial Circle 1327">
            <a:extLst>
              <a:ext uri="{FF2B5EF4-FFF2-40B4-BE49-F238E27FC236}">
                <a16:creationId xmlns:a16="http://schemas.microsoft.com/office/drawing/2014/main" id="{1D0D36A8-66C9-4021-92F6-97A3B45A20CE}"/>
              </a:ext>
            </a:extLst>
          </xdr:cNvPr>
          <xdr:cNvSpPr>
            <a:spLocks noChangeAspect="1"/>
          </xdr:cNvSpPr>
        </xdr:nvSpPr>
        <xdr:spPr>
          <a:xfrm rot="14400000">
            <a:off x="6255125" y="4397474"/>
            <a:ext cx="2605195" cy="2605195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Dec'55</a:t>
            </a:r>
          </a:p>
        </xdr:txBody>
      </xdr:sp>
      <xdr:sp macro="" textlink="">
        <xdr:nvSpPr>
          <xdr:cNvPr id="1333" name="Partial Circle 1332">
            <a:extLst>
              <a:ext uri="{FF2B5EF4-FFF2-40B4-BE49-F238E27FC236}">
                <a16:creationId xmlns:a16="http://schemas.microsoft.com/office/drawing/2014/main" id="{7A89FF13-37B7-4AE6-A4C2-EC89A79F516E}"/>
              </a:ext>
            </a:extLst>
          </xdr:cNvPr>
          <xdr:cNvSpPr>
            <a:spLocks noChangeAspect="1"/>
          </xdr:cNvSpPr>
        </xdr:nvSpPr>
        <xdr:spPr>
          <a:xfrm rot="16200000">
            <a:off x="6258509" y="4400858"/>
            <a:ext cx="2598427" cy="259842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32" name="Partial Circle 1331">
            <a:extLst>
              <a:ext uri="{FF2B5EF4-FFF2-40B4-BE49-F238E27FC236}">
                <a16:creationId xmlns:a16="http://schemas.microsoft.com/office/drawing/2014/main" id="{A65F0179-B000-454A-ACE3-61A15057B235}"/>
              </a:ext>
            </a:extLst>
          </xdr:cNvPr>
          <xdr:cNvSpPr>
            <a:spLocks noChangeAspect="1"/>
          </xdr:cNvSpPr>
        </xdr:nvSpPr>
        <xdr:spPr>
          <a:xfrm rot="16200000">
            <a:off x="6368483" y="4510832"/>
            <a:ext cx="2378479" cy="237847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31" name="Partial Circle 1330">
            <a:extLst>
              <a:ext uri="{FF2B5EF4-FFF2-40B4-BE49-F238E27FC236}">
                <a16:creationId xmlns:a16="http://schemas.microsoft.com/office/drawing/2014/main" id="{B63626EF-FAF8-406B-8283-B90A2CE84A61}"/>
              </a:ext>
            </a:extLst>
          </xdr:cNvPr>
          <xdr:cNvSpPr>
            <a:spLocks noChangeAspect="1"/>
          </xdr:cNvSpPr>
        </xdr:nvSpPr>
        <xdr:spPr>
          <a:xfrm rot="16200000">
            <a:off x="6372712" y="4515061"/>
            <a:ext cx="2370020" cy="237002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Jan'56</a:t>
            </a:r>
          </a:p>
        </xdr:txBody>
      </xdr:sp>
      <xdr:sp macro="" textlink="">
        <xdr:nvSpPr>
          <xdr:cNvPr id="1336" name="Partial Circle 1335">
            <a:extLst>
              <a:ext uri="{FF2B5EF4-FFF2-40B4-BE49-F238E27FC236}">
                <a16:creationId xmlns:a16="http://schemas.microsoft.com/office/drawing/2014/main" id="{95E8C3D1-E92C-4A40-8AD7-5C1E6A22A596}"/>
              </a:ext>
            </a:extLst>
          </xdr:cNvPr>
          <xdr:cNvSpPr>
            <a:spLocks noChangeAspect="1"/>
          </xdr:cNvSpPr>
        </xdr:nvSpPr>
        <xdr:spPr>
          <a:xfrm rot="18000000">
            <a:off x="6369328" y="4511677"/>
            <a:ext cx="2376788" cy="237678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35" name="Partial Circle 1334">
            <a:extLst>
              <a:ext uri="{FF2B5EF4-FFF2-40B4-BE49-F238E27FC236}">
                <a16:creationId xmlns:a16="http://schemas.microsoft.com/office/drawing/2014/main" id="{BA1F3E43-FBFE-4946-ABB5-106597AD90B9}"/>
              </a:ext>
            </a:extLst>
          </xdr:cNvPr>
          <xdr:cNvSpPr>
            <a:spLocks noChangeAspect="1"/>
          </xdr:cNvSpPr>
        </xdr:nvSpPr>
        <xdr:spPr>
          <a:xfrm rot="18000000">
            <a:off x="6413318" y="4555667"/>
            <a:ext cx="2288809" cy="228880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34" name="Partial Circle 1333">
            <a:extLst>
              <a:ext uri="{FF2B5EF4-FFF2-40B4-BE49-F238E27FC236}">
                <a16:creationId xmlns:a16="http://schemas.microsoft.com/office/drawing/2014/main" id="{61056D62-BE90-4585-9DE7-72D311BCE882}"/>
              </a:ext>
            </a:extLst>
          </xdr:cNvPr>
          <xdr:cNvSpPr>
            <a:spLocks noChangeAspect="1"/>
          </xdr:cNvSpPr>
        </xdr:nvSpPr>
        <xdr:spPr>
          <a:xfrm rot="18000000">
            <a:off x="6413318" y="4555667"/>
            <a:ext cx="2288809" cy="228880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Feb'56</a:t>
            </a:r>
          </a:p>
        </xdr:txBody>
      </xdr:sp>
      <xdr:sp macro="" textlink="">
        <xdr:nvSpPr>
          <xdr:cNvPr id="1339" name="Partial Circle 1338">
            <a:extLst>
              <a:ext uri="{FF2B5EF4-FFF2-40B4-BE49-F238E27FC236}">
                <a16:creationId xmlns:a16="http://schemas.microsoft.com/office/drawing/2014/main" id="{C04EA849-2F7F-45FD-9CBB-FBAB6C6C7AB0}"/>
              </a:ext>
            </a:extLst>
          </xdr:cNvPr>
          <xdr:cNvSpPr>
            <a:spLocks noChangeAspect="1"/>
          </xdr:cNvSpPr>
        </xdr:nvSpPr>
        <xdr:spPr>
          <a:xfrm rot="19800000">
            <a:off x="6359177" y="4501526"/>
            <a:ext cx="2397090" cy="2397090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38" name="Partial Circle 1337">
            <a:extLst>
              <a:ext uri="{FF2B5EF4-FFF2-40B4-BE49-F238E27FC236}">
                <a16:creationId xmlns:a16="http://schemas.microsoft.com/office/drawing/2014/main" id="{ACA1CDAC-B5F5-47BD-990E-F1CFF4685205}"/>
              </a:ext>
            </a:extLst>
          </xdr:cNvPr>
          <xdr:cNvSpPr>
            <a:spLocks noChangeAspect="1"/>
          </xdr:cNvSpPr>
        </xdr:nvSpPr>
        <xdr:spPr>
          <a:xfrm rot="19800000">
            <a:off x="6436159" y="4578508"/>
            <a:ext cx="2243127" cy="224312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37" name="Partial Circle 1336">
            <a:extLst>
              <a:ext uri="{FF2B5EF4-FFF2-40B4-BE49-F238E27FC236}">
                <a16:creationId xmlns:a16="http://schemas.microsoft.com/office/drawing/2014/main" id="{7B8D239D-457A-4075-84FE-29A7E031E70E}"/>
              </a:ext>
            </a:extLst>
          </xdr:cNvPr>
          <xdr:cNvSpPr>
            <a:spLocks noChangeAspect="1"/>
          </xdr:cNvSpPr>
        </xdr:nvSpPr>
        <xdr:spPr>
          <a:xfrm rot="19800000">
            <a:off x="6436159" y="4578508"/>
            <a:ext cx="2243127" cy="2243127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Mar'56</a:t>
            </a:r>
          </a:p>
        </xdr:txBody>
      </xdr:sp>
      <xdr:sp macro="" textlink="">
        <xdr:nvSpPr>
          <xdr:cNvPr id="1309" name="Partial Circle 1308">
            <a:extLst>
              <a:ext uri="{FF2B5EF4-FFF2-40B4-BE49-F238E27FC236}">
                <a16:creationId xmlns:a16="http://schemas.microsoft.com/office/drawing/2014/main" id="{CD404B2B-72A2-4B62-AA18-240E302273EB}"/>
              </a:ext>
            </a:extLst>
          </xdr:cNvPr>
          <xdr:cNvSpPr>
            <a:spLocks noChangeAspect="1"/>
          </xdr:cNvSpPr>
        </xdr:nvSpPr>
        <xdr:spPr>
          <a:xfrm rot="1800000">
            <a:off x="4769633" y="2911982"/>
            <a:ext cx="5576179" cy="5576179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08" name="Partial Circle 1307">
            <a:extLst>
              <a:ext uri="{FF2B5EF4-FFF2-40B4-BE49-F238E27FC236}">
                <a16:creationId xmlns:a16="http://schemas.microsoft.com/office/drawing/2014/main" id="{B6AB2D9E-40B9-439D-B0E4-54C378ACDE27}"/>
              </a:ext>
            </a:extLst>
          </xdr:cNvPr>
          <xdr:cNvSpPr>
            <a:spLocks noChangeAspect="1"/>
          </xdr:cNvSpPr>
        </xdr:nvSpPr>
        <xdr:spPr>
          <a:xfrm rot="1800000">
            <a:off x="4875377" y="3017726"/>
            <a:ext cx="5364691" cy="5364691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07" name="Partial Circle 1306">
            <a:extLst>
              <a:ext uri="{FF2B5EF4-FFF2-40B4-BE49-F238E27FC236}">
                <a16:creationId xmlns:a16="http://schemas.microsoft.com/office/drawing/2014/main" id="{FF697846-DBBF-4DDB-A16B-B3187B8D2DF4}"/>
              </a:ext>
            </a:extLst>
          </xdr:cNvPr>
          <xdr:cNvSpPr>
            <a:spLocks noChangeAspect="1"/>
          </xdr:cNvSpPr>
        </xdr:nvSpPr>
        <xdr:spPr>
          <a:xfrm rot="1800000">
            <a:off x="5015805" y="3158154"/>
            <a:ext cx="5083835" cy="5083835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                    May'55</a:t>
            </a:r>
          </a:p>
        </xdr:txBody>
      </xdr:sp>
      <xdr:sp macro="" textlink="">
        <xdr:nvSpPr>
          <xdr:cNvPr id="1306" name="Partial Circle 1305">
            <a:extLst>
              <a:ext uri="{FF2B5EF4-FFF2-40B4-BE49-F238E27FC236}">
                <a16:creationId xmlns:a16="http://schemas.microsoft.com/office/drawing/2014/main" id="{5E9D2B74-DC8C-4AB7-9793-CBCB9DDFB540}"/>
              </a:ext>
            </a:extLst>
          </xdr:cNvPr>
          <xdr:cNvSpPr>
            <a:spLocks noChangeAspect="1"/>
          </xdr:cNvSpPr>
        </xdr:nvSpPr>
        <xdr:spPr>
          <a:xfrm>
            <a:off x="4636818" y="2779167"/>
            <a:ext cx="5841808" cy="5841808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C65911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05" name="Partial Circle 1304">
            <a:extLst>
              <a:ext uri="{FF2B5EF4-FFF2-40B4-BE49-F238E27FC236}">
                <a16:creationId xmlns:a16="http://schemas.microsoft.com/office/drawing/2014/main" id="{24F1ABFD-7442-4F0F-B2E6-795DA4203842}"/>
              </a:ext>
            </a:extLst>
          </xdr:cNvPr>
          <xdr:cNvSpPr>
            <a:spLocks noChangeAspect="1"/>
          </xdr:cNvSpPr>
        </xdr:nvSpPr>
        <xdr:spPr>
          <a:xfrm>
            <a:off x="4816160" y="2958509"/>
            <a:ext cx="5483125" cy="5483125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8CBAD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1304" name="Partial Circle 1303">
            <a:extLst>
              <a:ext uri="{FF2B5EF4-FFF2-40B4-BE49-F238E27FC236}">
                <a16:creationId xmlns:a16="http://schemas.microsoft.com/office/drawing/2014/main" id="{DA680D74-D6E5-462F-9225-F239E0F1143E}"/>
              </a:ext>
            </a:extLst>
          </xdr:cNvPr>
          <xdr:cNvSpPr>
            <a:spLocks noChangeAspect="1"/>
          </xdr:cNvSpPr>
        </xdr:nvSpPr>
        <xdr:spPr>
          <a:xfrm>
            <a:off x="4967586" y="3109935"/>
            <a:ext cx="5180273" cy="5180273"/>
          </a:xfrm>
          <a:prstGeom prst="pie">
            <a:avLst>
              <a:gd name="adj1" fmla="val 16200000"/>
              <a:gd name="adj2" fmla="val 18000000"/>
            </a:avLst>
          </a:prstGeom>
          <a:solidFill>
            <a:srgbClr val="FFF2CC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chemeClr val="tx1"/>
                </a:solidFill>
              </a:rPr>
              <a:t>                                                                         Apr'55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C76E7-3BD2-4B3D-B80E-65D861659B83}">
  <sheetPr codeName="Sheet1"/>
  <dimension ref="A1:J25"/>
  <sheetViews>
    <sheetView workbookViewId="0">
      <selection activeCell="F1" sqref="F1:H1"/>
    </sheetView>
  </sheetViews>
  <sheetFormatPr defaultRowHeight="15" x14ac:dyDescent="0.25"/>
  <cols>
    <col min="1" max="1" width="9.5703125" customWidth="1"/>
  </cols>
  <sheetData>
    <row r="1" spans="1:10" ht="51" x14ac:dyDescent="0.25">
      <c r="A1" s="1" t="s">
        <v>32</v>
      </c>
      <c r="B1" s="1" t="s">
        <v>1</v>
      </c>
      <c r="C1" s="1" t="s">
        <v>26</v>
      </c>
      <c r="D1" s="1" t="s">
        <v>27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0</v>
      </c>
      <c r="J1" s="1" t="s">
        <v>33</v>
      </c>
    </row>
    <row r="2" spans="1:10" x14ac:dyDescent="0.25">
      <c r="A2" s="2" t="s">
        <v>2</v>
      </c>
      <c r="B2" s="2">
        <v>8571</v>
      </c>
      <c r="C2" s="2">
        <v>1</v>
      </c>
      <c r="D2" s="2">
        <v>0</v>
      </c>
      <c r="E2" s="2">
        <v>5</v>
      </c>
      <c r="F2" s="2">
        <v>1.4</v>
      </c>
      <c r="G2" s="2">
        <v>0</v>
      </c>
      <c r="H2" s="2">
        <v>7</v>
      </c>
      <c r="I2" t="str">
        <f>LEFT(A2,3)</f>
        <v>Apr</v>
      </c>
      <c r="J2" t="str">
        <f>RIGHT(A2,4)</f>
        <v>1854</v>
      </c>
    </row>
    <row r="3" spans="1:10" x14ac:dyDescent="0.25">
      <c r="A3" s="2" t="s">
        <v>3</v>
      </c>
      <c r="B3" s="2">
        <v>23333</v>
      </c>
      <c r="C3" s="2">
        <v>12</v>
      </c>
      <c r="D3" s="2">
        <v>0</v>
      </c>
      <c r="E3" s="2">
        <v>9</v>
      </c>
      <c r="F3" s="2">
        <v>6.2</v>
      </c>
      <c r="G3" s="2">
        <v>0</v>
      </c>
      <c r="H3" s="2">
        <v>4.5999999999999996</v>
      </c>
      <c r="I3" t="str">
        <f t="shared" ref="I3:I25" si="0">LEFT(A3,3)</f>
        <v>May</v>
      </c>
      <c r="J3" t="str">
        <f t="shared" ref="J3:J25" si="1">RIGHT(A3,4)</f>
        <v>1854</v>
      </c>
    </row>
    <row r="4" spans="1:10" x14ac:dyDescent="0.25">
      <c r="A4" s="2" t="s">
        <v>4</v>
      </c>
      <c r="B4" s="2">
        <v>28333</v>
      </c>
      <c r="C4" s="2">
        <v>11</v>
      </c>
      <c r="D4" s="2">
        <v>0</v>
      </c>
      <c r="E4" s="2">
        <v>6</v>
      </c>
      <c r="F4" s="2">
        <v>4.7</v>
      </c>
      <c r="G4" s="2">
        <v>0</v>
      </c>
      <c r="H4" s="2">
        <v>2.5</v>
      </c>
      <c r="I4" t="str">
        <f t="shared" si="0"/>
        <v>Jun</v>
      </c>
      <c r="J4" t="str">
        <f t="shared" si="1"/>
        <v>1854</v>
      </c>
    </row>
    <row r="5" spans="1:10" x14ac:dyDescent="0.25">
      <c r="A5" s="2" t="s">
        <v>5</v>
      </c>
      <c r="B5" s="2">
        <v>28722</v>
      </c>
      <c r="C5" s="2">
        <v>359</v>
      </c>
      <c r="D5" s="2">
        <v>0</v>
      </c>
      <c r="E5" s="2">
        <v>23</v>
      </c>
      <c r="F5" s="2">
        <v>150</v>
      </c>
      <c r="G5" s="2">
        <v>0</v>
      </c>
      <c r="H5" s="2">
        <v>9.6</v>
      </c>
      <c r="I5" t="str">
        <f t="shared" si="0"/>
        <v>Jul</v>
      </c>
      <c r="J5" t="str">
        <f t="shared" si="1"/>
        <v>1854</v>
      </c>
    </row>
    <row r="6" spans="1:10" x14ac:dyDescent="0.25">
      <c r="A6" s="2" t="s">
        <v>6</v>
      </c>
      <c r="B6" s="2">
        <v>30246</v>
      </c>
      <c r="C6" s="2">
        <v>828</v>
      </c>
      <c r="D6" s="2">
        <v>1</v>
      </c>
      <c r="E6" s="2">
        <v>30</v>
      </c>
      <c r="F6" s="2">
        <v>328.5</v>
      </c>
      <c r="G6" s="2">
        <v>0.4</v>
      </c>
      <c r="H6" s="2">
        <v>11.9</v>
      </c>
      <c r="I6" t="str">
        <f t="shared" si="0"/>
        <v>Aug</v>
      </c>
      <c r="J6" t="str">
        <f t="shared" si="1"/>
        <v>1854</v>
      </c>
    </row>
    <row r="7" spans="1:10" x14ac:dyDescent="0.25">
      <c r="A7" s="2" t="s">
        <v>7</v>
      </c>
      <c r="B7" s="2">
        <v>30290</v>
      </c>
      <c r="C7" s="2">
        <v>788</v>
      </c>
      <c r="D7" s="2">
        <v>81</v>
      </c>
      <c r="E7" s="2">
        <v>70</v>
      </c>
      <c r="F7" s="2">
        <v>312.2</v>
      </c>
      <c r="G7" s="2">
        <v>32.1</v>
      </c>
      <c r="H7" s="2">
        <v>27.7</v>
      </c>
      <c r="I7" t="str">
        <f t="shared" si="0"/>
        <v>Sep</v>
      </c>
      <c r="J7" t="str">
        <f t="shared" si="1"/>
        <v>1854</v>
      </c>
    </row>
    <row r="8" spans="1:10" x14ac:dyDescent="0.25">
      <c r="A8" s="2" t="s">
        <v>8</v>
      </c>
      <c r="B8" s="2">
        <v>30643</v>
      </c>
      <c r="C8" s="2">
        <v>503</v>
      </c>
      <c r="D8" s="2">
        <v>132</v>
      </c>
      <c r="E8" s="2">
        <v>128</v>
      </c>
      <c r="F8" s="2">
        <v>197</v>
      </c>
      <c r="G8" s="2">
        <v>51.7</v>
      </c>
      <c r="H8" s="2">
        <v>50.1</v>
      </c>
      <c r="I8" t="str">
        <f t="shared" si="0"/>
        <v>Oct</v>
      </c>
      <c r="J8" t="str">
        <f t="shared" si="1"/>
        <v>1854</v>
      </c>
    </row>
    <row r="9" spans="1:10" x14ac:dyDescent="0.25">
      <c r="A9" s="2" t="s">
        <v>9</v>
      </c>
      <c r="B9" s="2">
        <v>29736</v>
      </c>
      <c r="C9" s="2">
        <v>844</v>
      </c>
      <c r="D9" s="2">
        <v>287</v>
      </c>
      <c r="E9" s="2">
        <v>106</v>
      </c>
      <c r="F9" s="2">
        <v>340.6</v>
      </c>
      <c r="G9" s="2">
        <v>115.8</v>
      </c>
      <c r="H9" s="2">
        <v>42.8</v>
      </c>
      <c r="I9" t="str">
        <f t="shared" si="0"/>
        <v>Nov</v>
      </c>
      <c r="J9" t="str">
        <f t="shared" si="1"/>
        <v>1854</v>
      </c>
    </row>
    <row r="10" spans="1:10" x14ac:dyDescent="0.25">
      <c r="A10" s="2" t="s">
        <v>10</v>
      </c>
      <c r="B10" s="2">
        <v>32779</v>
      </c>
      <c r="C10" s="2">
        <v>1725</v>
      </c>
      <c r="D10" s="2">
        <v>114</v>
      </c>
      <c r="E10" s="2">
        <v>131</v>
      </c>
      <c r="F10" s="2">
        <v>631.5</v>
      </c>
      <c r="G10" s="2">
        <v>41.7</v>
      </c>
      <c r="H10" s="2">
        <v>48</v>
      </c>
      <c r="I10" t="str">
        <f t="shared" si="0"/>
        <v>Dec</v>
      </c>
      <c r="J10" t="str">
        <f t="shared" si="1"/>
        <v>1854</v>
      </c>
    </row>
    <row r="11" spans="1:10" x14ac:dyDescent="0.25">
      <c r="A11" s="2" t="s">
        <v>11</v>
      </c>
      <c r="B11" s="2">
        <v>32393</v>
      </c>
      <c r="C11" s="2">
        <v>2761</v>
      </c>
      <c r="D11" s="2">
        <v>83</v>
      </c>
      <c r="E11" s="2">
        <v>324</v>
      </c>
      <c r="F11" s="2">
        <v>1022.8</v>
      </c>
      <c r="G11" s="2">
        <v>30.7</v>
      </c>
      <c r="H11" s="2">
        <v>120</v>
      </c>
      <c r="I11" t="str">
        <f t="shared" si="0"/>
        <v>Jan</v>
      </c>
      <c r="J11" t="str">
        <f t="shared" si="1"/>
        <v>1855</v>
      </c>
    </row>
    <row r="12" spans="1:10" x14ac:dyDescent="0.25">
      <c r="A12" s="2" t="s">
        <v>12</v>
      </c>
      <c r="B12" s="2">
        <v>30919</v>
      </c>
      <c r="C12" s="2">
        <v>2120</v>
      </c>
      <c r="D12" s="2">
        <v>42</v>
      </c>
      <c r="E12" s="2">
        <v>361</v>
      </c>
      <c r="F12" s="2">
        <v>822.8</v>
      </c>
      <c r="G12" s="2">
        <v>16.3</v>
      </c>
      <c r="H12" s="2">
        <v>140.1</v>
      </c>
      <c r="I12" t="str">
        <f t="shared" si="0"/>
        <v>Feb</v>
      </c>
      <c r="J12" t="str">
        <f t="shared" si="1"/>
        <v>1855</v>
      </c>
    </row>
    <row r="13" spans="1:10" x14ac:dyDescent="0.25">
      <c r="A13" s="2" t="s">
        <v>13</v>
      </c>
      <c r="B13" s="2">
        <v>30107</v>
      </c>
      <c r="C13" s="2">
        <v>1205</v>
      </c>
      <c r="D13" s="2">
        <v>32</v>
      </c>
      <c r="E13" s="2">
        <v>172</v>
      </c>
      <c r="F13" s="2">
        <v>480.3</v>
      </c>
      <c r="G13" s="2">
        <v>12.8</v>
      </c>
      <c r="H13" s="2">
        <v>68.599999999999994</v>
      </c>
      <c r="I13" t="str">
        <f t="shared" si="0"/>
        <v>Mar</v>
      </c>
      <c r="J13" t="str">
        <f t="shared" si="1"/>
        <v>1855</v>
      </c>
    </row>
    <row r="14" spans="1:10" x14ac:dyDescent="0.25">
      <c r="A14" s="2" t="s">
        <v>14</v>
      </c>
      <c r="B14" s="2">
        <v>32252</v>
      </c>
      <c r="C14" s="2">
        <v>477</v>
      </c>
      <c r="D14" s="2">
        <v>48</v>
      </c>
      <c r="E14" s="2">
        <v>57</v>
      </c>
      <c r="F14" s="2">
        <v>177.5</v>
      </c>
      <c r="G14" s="2">
        <v>17.899999999999999</v>
      </c>
      <c r="H14" s="2">
        <v>21.2</v>
      </c>
      <c r="I14" t="str">
        <f t="shared" si="0"/>
        <v>Apr</v>
      </c>
      <c r="J14" t="str">
        <f t="shared" si="1"/>
        <v>1855</v>
      </c>
    </row>
    <row r="15" spans="1:10" x14ac:dyDescent="0.25">
      <c r="A15" s="2" t="s">
        <v>15</v>
      </c>
      <c r="B15" s="2">
        <v>35473</v>
      </c>
      <c r="C15" s="2">
        <v>508</v>
      </c>
      <c r="D15" s="2">
        <v>49</v>
      </c>
      <c r="E15" s="2">
        <v>37</v>
      </c>
      <c r="F15" s="2">
        <v>171.8</v>
      </c>
      <c r="G15" s="2">
        <v>16.600000000000001</v>
      </c>
      <c r="H15" s="2">
        <v>12.5</v>
      </c>
      <c r="I15" t="str">
        <f t="shared" si="0"/>
        <v>May</v>
      </c>
      <c r="J15" t="str">
        <f t="shared" si="1"/>
        <v>1855</v>
      </c>
    </row>
    <row r="16" spans="1:10" x14ac:dyDescent="0.25">
      <c r="A16" s="2" t="s">
        <v>16</v>
      </c>
      <c r="B16" s="2">
        <v>38863</v>
      </c>
      <c r="C16" s="2">
        <v>802</v>
      </c>
      <c r="D16" s="2">
        <v>209</v>
      </c>
      <c r="E16" s="2">
        <v>31</v>
      </c>
      <c r="F16" s="2">
        <v>247.6</v>
      </c>
      <c r="G16" s="2">
        <v>64.5</v>
      </c>
      <c r="H16" s="2">
        <v>9.6</v>
      </c>
      <c r="I16" t="str">
        <f t="shared" si="0"/>
        <v>Jun</v>
      </c>
      <c r="J16" t="str">
        <f t="shared" si="1"/>
        <v>1855</v>
      </c>
    </row>
    <row r="17" spans="1:10" x14ac:dyDescent="0.25">
      <c r="A17" s="2" t="s">
        <v>17</v>
      </c>
      <c r="B17" s="2">
        <v>42647</v>
      </c>
      <c r="C17" s="2">
        <v>382</v>
      </c>
      <c r="D17" s="2">
        <v>134</v>
      </c>
      <c r="E17" s="2">
        <v>33</v>
      </c>
      <c r="F17" s="2">
        <v>107.5</v>
      </c>
      <c r="G17" s="2">
        <v>37.700000000000003</v>
      </c>
      <c r="H17" s="2">
        <v>9.3000000000000007</v>
      </c>
      <c r="I17" t="str">
        <f t="shared" si="0"/>
        <v>Jul</v>
      </c>
      <c r="J17" t="str">
        <f t="shared" si="1"/>
        <v>1855</v>
      </c>
    </row>
    <row r="18" spans="1:10" x14ac:dyDescent="0.25">
      <c r="A18" s="2" t="s">
        <v>25</v>
      </c>
      <c r="B18" s="2">
        <v>44614</v>
      </c>
      <c r="C18" s="2">
        <v>483</v>
      </c>
      <c r="D18" s="2">
        <v>164</v>
      </c>
      <c r="E18" s="2">
        <v>25</v>
      </c>
      <c r="F18" s="2">
        <v>129.9</v>
      </c>
      <c r="G18" s="2">
        <v>44.1</v>
      </c>
      <c r="H18" s="2">
        <v>6.7</v>
      </c>
      <c r="I18" t="str">
        <f t="shared" si="0"/>
        <v>Aug</v>
      </c>
      <c r="J18" t="str">
        <f t="shared" si="1"/>
        <v>1855</v>
      </c>
    </row>
    <row r="19" spans="1:10" x14ac:dyDescent="0.25">
      <c r="A19" s="2" t="s">
        <v>18</v>
      </c>
      <c r="B19" s="2">
        <v>47751</v>
      </c>
      <c r="C19" s="2">
        <v>189</v>
      </c>
      <c r="D19" s="2">
        <v>276</v>
      </c>
      <c r="E19" s="2">
        <v>20</v>
      </c>
      <c r="F19" s="2">
        <v>47.5</v>
      </c>
      <c r="G19" s="2">
        <v>69.400000000000006</v>
      </c>
      <c r="H19" s="2">
        <v>5</v>
      </c>
      <c r="I19" t="str">
        <f t="shared" si="0"/>
        <v>Sep</v>
      </c>
      <c r="J19" t="str">
        <f t="shared" si="1"/>
        <v>1855</v>
      </c>
    </row>
    <row r="20" spans="1:10" x14ac:dyDescent="0.25">
      <c r="A20" s="2" t="s">
        <v>19</v>
      </c>
      <c r="B20" s="2">
        <v>46852</v>
      </c>
      <c r="C20" s="2">
        <v>128</v>
      </c>
      <c r="D20" s="2">
        <v>53</v>
      </c>
      <c r="E20" s="2">
        <v>18</v>
      </c>
      <c r="F20" s="2">
        <v>32.799999999999997</v>
      </c>
      <c r="G20" s="2">
        <v>13.6</v>
      </c>
      <c r="H20" s="2">
        <v>4.5999999999999996</v>
      </c>
      <c r="I20" t="str">
        <f t="shared" si="0"/>
        <v>Oct</v>
      </c>
      <c r="J20" t="str">
        <f t="shared" si="1"/>
        <v>1855</v>
      </c>
    </row>
    <row r="21" spans="1:10" x14ac:dyDescent="0.25">
      <c r="A21" s="2" t="s">
        <v>20</v>
      </c>
      <c r="B21" s="2">
        <v>37853</v>
      </c>
      <c r="C21" s="2">
        <v>178</v>
      </c>
      <c r="D21" s="2">
        <v>33</v>
      </c>
      <c r="E21" s="2">
        <v>32</v>
      </c>
      <c r="F21" s="2">
        <v>56.4</v>
      </c>
      <c r="G21" s="2">
        <v>10.5</v>
      </c>
      <c r="H21" s="2">
        <v>10.1</v>
      </c>
      <c r="I21" t="str">
        <f t="shared" si="0"/>
        <v>Nov</v>
      </c>
      <c r="J21" t="str">
        <f t="shared" si="1"/>
        <v>1855</v>
      </c>
    </row>
    <row r="22" spans="1:10" x14ac:dyDescent="0.25">
      <c r="A22" s="2" t="s">
        <v>21</v>
      </c>
      <c r="B22" s="2">
        <v>43217</v>
      </c>
      <c r="C22" s="2">
        <v>91</v>
      </c>
      <c r="D22" s="2">
        <v>18</v>
      </c>
      <c r="E22" s="2">
        <v>28</v>
      </c>
      <c r="F22" s="2">
        <v>25.3</v>
      </c>
      <c r="G22" s="2">
        <v>5</v>
      </c>
      <c r="H22" s="2">
        <v>7.8</v>
      </c>
      <c r="I22" t="str">
        <f t="shared" si="0"/>
        <v>Dec</v>
      </c>
      <c r="J22" t="str">
        <f t="shared" si="1"/>
        <v>1855</v>
      </c>
    </row>
    <row r="23" spans="1:10" x14ac:dyDescent="0.25">
      <c r="A23" s="2" t="s">
        <v>22</v>
      </c>
      <c r="B23" s="2">
        <v>44212</v>
      </c>
      <c r="C23" s="2">
        <v>42</v>
      </c>
      <c r="D23" s="2">
        <v>2</v>
      </c>
      <c r="E23" s="2">
        <v>48</v>
      </c>
      <c r="F23" s="2">
        <v>11.4</v>
      </c>
      <c r="G23" s="2">
        <v>0.5</v>
      </c>
      <c r="H23" s="2">
        <v>13</v>
      </c>
      <c r="I23" t="str">
        <f t="shared" si="0"/>
        <v>Jan</v>
      </c>
      <c r="J23" t="str">
        <f t="shared" si="1"/>
        <v>1856</v>
      </c>
    </row>
    <row r="24" spans="1:10" x14ac:dyDescent="0.25">
      <c r="A24" s="2" t="s">
        <v>23</v>
      </c>
      <c r="B24" s="2">
        <v>43485</v>
      </c>
      <c r="C24" s="2">
        <v>24</v>
      </c>
      <c r="D24" s="2">
        <v>0</v>
      </c>
      <c r="E24" s="2">
        <v>19</v>
      </c>
      <c r="F24" s="2">
        <v>6.6</v>
      </c>
      <c r="G24" s="2">
        <v>0</v>
      </c>
      <c r="H24" s="2">
        <v>5.2</v>
      </c>
      <c r="I24" t="str">
        <f t="shared" si="0"/>
        <v>Feb</v>
      </c>
      <c r="J24" t="str">
        <f t="shared" si="1"/>
        <v>1856</v>
      </c>
    </row>
    <row r="25" spans="1:10" x14ac:dyDescent="0.25">
      <c r="A25" s="2" t="s">
        <v>24</v>
      </c>
      <c r="B25" s="2">
        <v>46140</v>
      </c>
      <c r="C25" s="2">
        <v>15</v>
      </c>
      <c r="D25" s="2">
        <v>0</v>
      </c>
      <c r="E25" s="2">
        <v>35</v>
      </c>
      <c r="F25" s="2">
        <v>3.9</v>
      </c>
      <c r="G25" s="2">
        <v>0</v>
      </c>
      <c r="H25" s="2">
        <v>9.1</v>
      </c>
      <c r="I25" t="str">
        <f t="shared" si="0"/>
        <v>Mar</v>
      </c>
      <c r="J25" t="str">
        <f t="shared" si="1"/>
        <v>1856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688E-B025-484F-B675-BD79F55BD7A1}">
  <sheetPr codeName="Sheet4"/>
  <dimension ref="A1:M10"/>
  <sheetViews>
    <sheetView workbookViewId="0">
      <selection activeCell="A8" sqref="A8:L10"/>
    </sheetView>
  </sheetViews>
  <sheetFormatPr defaultRowHeight="15" x14ac:dyDescent="0.25"/>
  <sheetData>
    <row r="1" spans="1:13" x14ac:dyDescent="0.25">
      <c r="A1" t="s">
        <v>14</v>
      </c>
      <c r="B1" t="s">
        <v>15</v>
      </c>
      <c r="C1" t="s">
        <v>16</v>
      </c>
      <c r="D1" t="s">
        <v>17</v>
      </c>
      <c r="E1" t="s">
        <v>25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s="3" t="s">
        <v>32</v>
      </c>
    </row>
    <row r="2" spans="1:13" x14ac:dyDescent="0.25">
      <c r="A2">
        <v>177.5</v>
      </c>
      <c r="B2">
        <v>171.8</v>
      </c>
      <c r="C2">
        <v>247.6</v>
      </c>
      <c r="D2">
        <v>107.5</v>
      </c>
      <c r="E2">
        <v>129.9</v>
      </c>
      <c r="F2">
        <v>47.5</v>
      </c>
      <c r="G2">
        <v>32.799999999999997</v>
      </c>
      <c r="H2">
        <v>56.4</v>
      </c>
      <c r="I2">
        <v>25.3</v>
      </c>
      <c r="J2">
        <v>11.4</v>
      </c>
      <c r="K2">
        <v>6.6</v>
      </c>
      <c r="L2">
        <v>3.9</v>
      </c>
      <c r="M2" s="6" t="s">
        <v>29</v>
      </c>
    </row>
    <row r="3" spans="1:13" x14ac:dyDescent="0.25">
      <c r="A3">
        <v>17.899999999999999</v>
      </c>
      <c r="B3">
        <v>16.600000000000001</v>
      </c>
      <c r="C3">
        <v>64.5</v>
      </c>
      <c r="D3">
        <v>37.700000000000003</v>
      </c>
      <c r="E3">
        <v>44.1</v>
      </c>
      <c r="F3">
        <v>69.400000000000006</v>
      </c>
      <c r="G3">
        <v>13.6</v>
      </c>
      <c r="H3">
        <v>10.5</v>
      </c>
      <c r="I3">
        <v>5</v>
      </c>
      <c r="J3">
        <v>0.5</v>
      </c>
      <c r="K3">
        <v>0</v>
      </c>
      <c r="L3">
        <v>0</v>
      </c>
      <c r="M3" s="6" t="s">
        <v>30</v>
      </c>
    </row>
    <row r="4" spans="1:13" ht="15.75" thickBot="1" x14ac:dyDescent="0.3">
      <c r="A4">
        <v>21.2</v>
      </c>
      <c r="B4">
        <v>12.5</v>
      </c>
      <c r="C4">
        <v>9.6</v>
      </c>
      <c r="D4">
        <v>9.3000000000000007</v>
      </c>
      <c r="E4">
        <v>6.7</v>
      </c>
      <c r="F4">
        <v>5</v>
      </c>
      <c r="G4">
        <v>4.5999999999999996</v>
      </c>
      <c r="H4">
        <v>10.1</v>
      </c>
      <c r="I4">
        <v>7.8</v>
      </c>
      <c r="J4">
        <v>13</v>
      </c>
      <c r="K4">
        <v>5.2</v>
      </c>
      <c r="L4">
        <v>9.1</v>
      </c>
      <c r="M4" s="7" t="s">
        <v>31</v>
      </c>
    </row>
    <row r="5" spans="1:13" x14ac:dyDescent="0.25">
      <c r="A5" s="9">
        <f>SUM(A2:A4)</f>
        <v>216.6</v>
      </c>
      <c r="B5" s="9">
        <f t="shared" ref="B5:L5" si="0">SUM(B2:B4)</f>
        <v>200.9</v>
      </c>
      <c r="C5" s="9">
        <f t="shared" si="0"/>
        <v>321.70000000000005</v>
      </c>
      <c r="D5" s="9">
        <f t="shared" si="0"/>
        <v>154.5</v>
      </c>
      <c r="E5" s="9">
        <f t="shared" si="0"/>
        <v>180.7</v>
      </c>
      <c r="F5" s="9">
        <f t="shared" si="0"/>
        <v>121.9</v>
      </c>
      <c r="G5" s="9">
        <f t="shared" si="0"/>
        <v>51</v>
      </c>
      <c r="H5" s="9">
        <f t="shared" si="0"/>
        <v>77</v>
      </c>
      <c r="I5" s="9">
        <f t="shared" si="0"/>
        <v>38.1</v>
      </c>
      <c r="J5" s="9">
        <f t="shared" si="0"/>
        <v>24.9</v>
      </c>
      <c r="K5" s="9">
        <f t="shared" si="0"/>
        <v>11.8</v>
      </c>
      <c r="L5" s="9">
        <f t="shared" si="0"/>
        <v>13</v>
      </c>
    </row>
    <row r="8" spans="1:13" x14ac:dyDescent="0.25">
      <c r="A8" s="8">
        <f t="shared" ref="A8:B8" si="1">A2/$C$5</f>
        <v>0.55175629468448861</v>
      </c>
      <c r="B8" s="8">
        <f t="shared" si="1"/>
        <v>0.53403792353124024</v>
      </c>
      <c r="C8" s="8">
        <f>C2/$C$5</f>
        <v>0.76966117500777109</v>
      </c>
      <c r="D8" s="8">
        <f t="shared" ref="D8:L8" si="2">D2/$C$5</f>
        <v>0.33416226297792972</v>
      </c>
      <c r="E8" s="8">
        <f t="shared" si="2"/>
        <v>0.40379235312402856</v>
      </c>
      <c r="F8" s="8">
        <f t="shared" si="2"/>
        <v>0.14765309294373638</v>
      </c>
      <c r="G8" s="8">
        <f t="shared" si="2"/>
        <v>0.10195834628535901</v>
      </c>
      <c r="H8" s="8">
        <f t="shared" si="2"/>
        <v>0.17531861983214173</v>
      </c>
      <c r="I8" s="8">
        <f t="shared" si="2"/>
        <v>7.8644700031084855E-2</v>
      </c>
      <c r="J8" s="8">
        <f t="shared" si="2"/>
        <v>3.5436742306496731E-2</v>
      </c>
      <c r="K8" s="8">
        <f t="shared" si="2"/>
        <v>2.0516008703761263E-2</v>
      </c>
      <c r="L8" s="8">
        <f t="shared" si="2"/>
        <v>1.2123096052222566E-2</v>
      </c>
    </row>
    <row r="9" spans="1:13" x14ac:dyDescent="0.25">
      <c r="A9" s="8">
        <f t="shared" ref="A9:L9" si="3">A3/$C$5</f>
        <v>5.5641902393534337E-2</v>
      </c>
      <c r="B9" s="8">
        <f t="shared" si="3"/>
        <v>5.1600870376126824E-2</v>
      </c>
      <c r="C9" s="8">
        <f t="shared" si="3"/>
        <v>0.20049735778675781</v>
      </c>
      <c r="D9" s="8">
        <f t="shared" si="3"/>
        <v>0.11718992850481814</v>
      </c>
      <c r="E9" s="8">
        <f t="shared" si="3"/>
        <v>0.13708423997513208</v>
      </c>
      <c r="F9" s="8">
        <f t="shared" si="3"/>
        <v>0.21572894000621695</v>
      </c>
      <c r="G9" s="8">
        <f t="shared" si="3"/>
        <v>4.2275411874417149E-2</v>
      </c>
      <c r="H9" s="8">
        <f t="shared" si="3"/>
        <v>3.2639104755983833E-2</v>
      </c>
      <c r="I9" s="8">
        <f t="shared" si="3"/>
        <v>1.5542430836182777E-2</v>
      </c>
      <c r="J9" s="8">
        <f t="shared" si="3"/>
        <v>1.5542430836182777E-3</v>
      </c>
      <c r="K9" s="8">
        <f t="shared" si="3"/>
        <v>0</v>
      </c>
      <c r="L9" s="8">
        <f t="shared" si="3"/>
        <v>0</v>
      </c>
    </row>
    <row r="10" spans="1:13" x14ac:dyDescent="0.25">
      <c r="A10" s="8">
        <f t="shared" ref="A10:L10" si="4">A4/$C$5</f>
        <v>6.5899906745414974E-2</v>
      </c>
      <c r="B10" s="8">
        <f t="shared" si="4"/>
        <v>3.8856077090456943E-2</v>
      </c>
      <c r="C10" s="8">
        <f t="shared" si="4"/>
        <v>2.9841467205470932E-2</v>
      </c>
      <c r="D10" s="8">
        <f t="shared" si="4"/>
        <v>2.8908921355299967E-2</v>
      </c>
      <c r="E10" s="8">
        <f t="shared" si="4"/>
        <v>2.0826857320484921E-2</v>
      </c>
      <c r="F10" s="8">
        <f t="shared" si="4"/>
        <v>1.5542430836182777E-2</v>
      </c>
      <c r="G10" s="8">
        <f t="shared" si="4"/>
        <v>1.4299036369288153E-2</v>
      </c>
      <c r="H10" s="8">
        <f t="shared" si="4"/>
        <v>3.1395710289089211E-2</v>
      </c>
      <c r="I10" s="8">
        <f t="shared" si="4"/>
        <v>2.4246192104445133E-2</v>
      </c>
      <c r="J10" s="8">
        <f t="shared" si="4"/>
        <v>4.0410320174075219E-2</v>
      </c>
      <c r="K10" s="8">
        <f t="shared" si="4"/>
        <v>1.616412806963009E-2</v>
      </c>
      <c r="L10" s="8">
        <f t="shared" si="4"/>
        <v>2.8287224121852653E-2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BDB59-D403-43BE-85CA-3DBABB1F5619}">
  <sheetPr codeName="Sheet2"/>
  <dimension ref="A1:N40"/>
  <sheetViews>
    <sheetView showGridLines="0" topLeftCell="A19" zoomScale="70" zoomScaleNormal="70" workbookViewId="0">
      <selection activeCell="U36" sqref="U36"/>
    </sheetView>
  </sheetViews>
  <sheetFormatPr defaultRowHeight="15" x14ac:dyDescent="0.25"/>
  <cols>
    <col min="1" max="1" width="15.7109375" customWidth="1"/>
    <col min="2" max="2" width="21" customWidth="1"/>
  </cols>
  <sheetData>
    <row r="1" spans="1:14" x14ac:dyDescent="0.25">
      <c r="A1" s="4" t="s">
        <v>42</v>
      </c>
      <c r="B1" s="4" t="s">
        <v>52</v>
      </c>
      <c r="C1" s="4" t="s">
        <v>53</v>
      </c>
      <c r="D1" s="4" t="s">
        <v>43</v>
      </c>
      <c r="E1" s="4" t="s">
        <v>44</v>
      </c>
      <c r="F1" s="4" t="s">
        <v>45</v>
      </c>
      <c r="G1" s="4" t="s">
        <v>46</v>
      </c>
      <c r="H1" s="4" t="s">
        <v>47</v>
      </c>
      <c r="I1" s="4" t="s">
        <v>48</v>
      </c>
      <c r="J1" s="4" t="s">
        <v>49</v>
      </c>
      <c r="K1" s="4" t="s">
        <v>50</v>
      </c>
      <c r="L1" s="5" t="s">
        <v>51</v>
      </c>
      <c r="M1" s="3" t="s">
        <v>32</v>
      </c>
    </row>
    <row r="2" spans="1:14" x14ac:dyDescent="0.25">
      <c r="A2" s="13">
        <v>1.1930123561994033E-3</v>
      </c>
      <c r="B2" s="13">
        <v>5.2833404345973582E-3</v>
      </c>
      <c r="C2" s="13">
        <v>4.0051129100979977E-3</v>
      </c>
      <c r="D2" s="13">
        <v>0.1278227524499361</v>
      </c>
      <c r="E2" s="13">
        <v>0.27993182786536003</v>
      </c>
      <c r="F2" s="13">
        <v>0.26604175543246694</v>
      </c>
      <c r="G2" s="13">
        <v>0.16787388155091607</v>
      </c>
      <c r="H2" s="13">
        <v>0.29024286322965492</v>
      </c>
      <c r="I2" s="13">
        <v>0.53813378781423093</v>
      </c>
      <c r="J2" s="13">
        <v>0.87158074137196417</v>
      </c>
      <c r="K2" s="13">
        <v>0.70115040477204937</v>
      </c>
      <c r="L2" s="14">
        <v>0.40928845334469538</v>
      </c>
      <c r="M2" s="11" t="s">
        <v>29</v>
      </c>
    </row>
    <row r="3" spans="1:14" x14ac:dyDescent="0.25">
      <c r="A3" s="13">
        <v>0</v>
      </c>
      <c r="B3" s="13">
        <v>0</v>
      </c>
      <c r="C3" s="13">
        <v>0</v>
      </c>
      <c r="D3" s="13">
        <v>0</v>
      </c>
      <c r="E3" s="13">
        <v>3.4086067319982961E-4</v>
      </c>
      <c r="F3" s="13">
        <v>2.7354069024286325E-2</v>
      </c>
      <c r="G3" s="13">
        <v>4.4056242011077974E-2</v>
      </c>
      <c r="H3" s="13">
        <v>9.867916489135066E-2</v>
      </c>
      <c r="I3" s="13">
        <v>3.5534725181082236E-2</v>
      </c>
      <c r="J3" s="13">
        <v>2.6161056668086918E-2</v>
      </c>
      <c r="K3" s="13">
        <v>1.3890072432893056E-2</v>
      </c>
      <c r="L3" s="14">
        <v>1.0907541542394547E-2</v>
      </c>
      <c r="M3" s="11" t="s">
        <v>30</v>
      </c>
    </row>
    <row r="4" spans="1:14" ht="15.75" thickBot="1" x14ac:dyDescent="0.3">
      <c r="A4" s="15">
        <v>5.9650617809970177E-3</v>
      </c>
      <c r="B4" s="15">
        <v>3.91989774179804E-3</v>
      </c>
      <c r="C4" s="15">
        <v>2.1303792074989347E-3</v>
      </c>
      <c r="D4" s="15">
        <v>8.1806561567959093E-3</v>
      </c>
      <c r="E4" s="15">
        <v>1.014060502769493E-2</v>
      </c>
      <c r="F4" s="15">
        <v>2.3604601619088197E-2</v>
      </c>
      <c r="G4" s="15">
        <v>4.2692799318278657E-2</v>
      </c>
      <c r="H4" s="15">
        <v>3.6472092032381762E-2</v>
      </c>
      <c r="I4" s="15">
        <v>4.0903280783979548E-2</v>
      </c>
      <c r="J4" s="15">
        <v>0.10225820195994888</v>
      </c>
      <c r="K4" s="15">
        <v>0.1193864507882403</v>
      </c>
      <c r="L4" s="16">
        <v>5.8457605453770767E-2</v>
      </c>
      <c r="M4" s="12" t="s">
        <v>31</v>
      </c>
    </row>
    <row r="5" spans="1:14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25"/>
    </row>
    <row r="6" spans="1:14" x14ac:dyDescent="0.25">
      <c r="A6" t="str">
        <f>_xlfn.CONCAT(A11,A1)</f>
        <v xml:space="preserve">                       Apr'54</v>
      </c>
      <c r="B6" t="str">
        <f t="shared" ref="B6:L6" si="0">_xlfn.CONCAT(B11,B1)</f>
        <v xml:space="preserve">                       May'54</v>
      </c>
      <c r="C6" t="str">
        <f t="shared" si="0"/>
        <v xml:space="preserve">                         Jun'54</v>
      </c>
      <c r="D6" t="str">
        <f t="shared" si="0"/>
        <v xml:space="preserve">                                 Jul'54</v>
      </c>
      <c r="E6" t="str">
        <f t="shared" si="0"/>
        <v xml:space="preserve">                                            Aug'54</v>
      </c>
      <c r="F6" t="str">
        <f t="shared" si="0"/>
        <v xml:space="preserve">                                            Sep'54</v>
      </c>
      <c r="G6" t="str">
        <f t="shared" si="0"/>
        <v xml:space="preserve">                                     Oct'54</v>
      </c>
      <c r="H6" t="str">
        <f t="shared" si="0"/>
        <v xml:space="preserve">                                              Nov'54</v>
      </c>
      <c r="I6" t="str">
        <f t="shared" si="0"/>
        <v xml:space="preserve">                                                                Dec'54</v>
      </c>
      <c r="J6" t="str">
        <f t="shared" si="0"/>
        <v xml:space="preserve">                                                                                      Jan'55</v>
      </c>
      <c r="K6" t="str">
        <f t="shared" si="0"/>
        <v xml:space="preserve">                                                                           Feb'55</v>
      </c>
      <c r="L6" t="str">
        <f t="shared" si="0"/>
        <v xml:space="preserve">                                                    Mar'55</v>
      </c>
    </row>
    <row r="7" spans="1:14" x14ac:dyDescent="0.25">
      <c r="A7" s="17">
        <f>A2</f>
        <v>1.1930123561994033E-3</v>
      </c>
      <c r="B7" s="17">
        <f t="shared" ref="B7:L7" si="1">B2</f>
        <v>5.2833404345973582E-3</v>
      </c>
      <c r="C7" s="17">
        <f t="shared" si="1"/>
        <v>4.0051129100979977E-3</v>
      </c>
      <c r="D7" s="17">
        <f t="shared" si="1"/>
        <v>0.1278227524499361</v>
      </c>
      <c r="E7" s="17">
        <f t="shared" si="1"/>
        <v>0.27993182786536003</v>
      </c>
      <c r="F7" s="17">
        <f t="shared" si="1"/>
        <v>0.26604175543246694</v>
      </c>
      <c r="G7" s="17">
        <f t="shared" si="1"/>
        <v>0.16787388155091607</v>
      </c>
      <c r="H7" s="17">
        <f t="shared" si="1"/>
        <v>0.29024286322965492</v>
      </c>
      <c r="I7" s="17">
        <f t="shared" si="1"/>
        <v>0.53813378781423093</v>
      </c>
      <c r="J7" s="17">
        <f t="shared" si="1"/>
        <v>0.87158074137196417</v>
      </c>
      <c r="K7" s="17">
        <f t="shared" si="1"/>
        <v>0.70115040477204937</v>
      </c>
      <c r="L7" s="17">
        <f t="shared" si="1"/>
        <v>0.40928845334469538</v>
      </c>
      <c r="N7" s="20" t="s">
        <v>34</v>
      </c>
    </row>
    <row r="8" spans="1:14" x14ac:dyDescent="0.25">
      <c r="A8" s="18">
        <f>A3+A7</f>
        <v>1.1930123561994033E-3</v>
      </c>
      <c r="B8" s="18">
        <f t="shared" ref="B8:L8" si="2">B3+B7</f>
        <v>5.2833404345973582E-3</v>
      </c>
      <c r="C8" s="18">
        <f t="shared" si="2"/>
        <v>4.0051129100979977E-3</v>
      </c>
      <c r="D8" s="18">
        <f t="shared" si="2"/>
        <v>0.1278227524499361</v>
      </c>
      <c r="E8" s="18">
        <f t="shared" si="2"/>
        <v>0.28027268853855986</v>
      </c>
      <c r="F8" s="18">
        <f t="shared" si="2"/>
        <v>0.29339582445675327</v>
      </c>
      <c r="G8" s="18">
        <f t="shared" si="2"/>
        <v>0.21193012356199403</v>
      </c>
      <c r="H8" s="18">
        <f t="shared" si="2"/>
        <v>0.38892202812100557</v>
      </c>
      <c r="I8" s="18">
        <f t="shared" si="2"/>
        <v>0.57366851299531318</v>
      </c>
      <c r="J8" s="18">
        <f t="shared" si="2"/>
        <v>0.89774179804005105</v>
      </c>
      <c r="K8" s="18">
        <f t="shared" si="2"/>
        <v>0.71504047720494246</v>
      </c>
      <c r="L8" s="18">
        <f t="shared" si="2"/>
        <v>0.42019599488708992</v>
      </c>
    </row>
    <row r="9" spans="1:14" x14ac:dyDescent="0.25">
      <c r="A9" s="19">
        <f>A4+A8</f>
        <v>7.1580741371964213E-3</v>
      </c>
      <c r="B9" s="19">
        <f t="shared" ref="B9:L9" si="3">B4+B8</f>
        <v>9.2032381763953973E-3</v>
      </c>
      <c r="C9" s="19">
        <f t="shared" si="3"/>
        <v>6.1354921175969324E-3</v>
      </c>
      <c r="D9" s="19">
        <f t="shared" si="3"/>
        <v>0.13600340860673202</v>
      </c>
      <c r="E9" s="19">
        <f t="shared" si="3"/>
        <v>0.29041329356625478</v>
      </c>
      <c r="F9" s="19">
        <f t="shared" si="3"/>
        <v>0.31700042607584145</v>
      </c>
      <c r="G9" s="19">
        <f t="shared" si="3"/>
        <v>0.25462292288027266</v>
      </c>
      <c r="H9" s="19">
        <f t="shared" si="3"/>
        <v>0.42539412015338735</v>
      </c>
      <c r="I9" s="19">
        <f t="shared" si="3"/>
        <v>0.61457179377929272</v>
      </c>
      <c r="J9" s="19">
        <f t="shared" si="3"/>
        <v>0.99999999999999989</v>
      </c>
      <c r="K9" s="19">
        <f t="shared" si="3"/>
        <v>0.83442692799318274</v>
      </c>
      <c r="L9" s="19">
        <f t="shared" si="3"/>
        <v>0.47865360034086069</v>
      </c>
    </row>
    <row r="11" spans="1:14" x14ac:dyDescent="0.25">
      <c r="A11" s="24" t="s">
        <v>38</v>
      </c>
      <c r="B11" s="24" t="s">
        <v>38</v>
      </c>
      <c r="C11" s="24" t="s">
        <v>40</v>
      </c>
      <c r="D11" s="24" t="s">
        <v>57</v>
      </c>
      <c r="E11" s="29" t="s">
        <v>36</v>
      </c>
      <c r="F11" s="29" t="s">
        <v>36</v>
      </c>
      <c r="G11" s="29" t="s">
        <v>56</v>
      </c>
      <c r="H11" s="24" t="s">
        <v>58</v>
      </c>
      <c r="I11" s="26" t="s">
        <v>59</v>
      </c>
      <c r="J11" s="26" t="s">
        <v>60</v>
      </c>
      <c r="K11" s="26" t="s">
        <v>55</v>
      </c>
      <c r="L11" s="26" t="s">
        <v>54</v>
      </c>
    </row>
    <row r="12" spans="1:14" x14ac:dyDescent="0.25">
      <c r="A12" s="21">
        <v>1.4</v>
      </c>
      <c r="B12" s="21">
        <v>6.2</v>
      </c>
      <c r="C12" s="21">
        <v>4.7</v>
      </c>
      <c r="D12" s="21">
        <v>150</v>
      </c>
      <c r="E12" s="21">
        <v>328.5</v>
      </c>
      <c r="F12" s="21">
        <v>312.2</v>
      </c>
      <c r="G12" s="21">
        <v>197</v>
      </c>
      <c r="H12" s="21">
        <v>340.6</v>
      </c>
      <c r="I12" s="27">
        <v>631.5</v>
      </c>
      <c r="J12" s="27">
        <v>1022.8</v>
      </c>
      <c r="K12" s="27">
        <v>822.8</v>
      </c>
      <c r="L12" s="27">
        <v>480.3</v>
      </c>
    </row>
    <row r="13" spans="1:14" x14ac:dyDescent="0.25">
      <c r="A13" s="22">
        <v>0</v>
      </c>
      <c r="B13" s="22">
        <v>0</v>
      </c>
      <c r="C13" s="22">
        <v>0</v>
      </c>
      <c r="D13" s="22">
        <v>0</v>
      </c>
      <c r="E13" s="22">
        <v>0.4</v>
      </c>
      <c r="F13" s="22">
        <v>32.1</v>
      </c>
      <c r="G13" s="22">
        <v>51.7</v>
      </c>
      <c r="H13" s="22">
        <v>115.8</v>
      </c>
      <c r="I13" s="28">
        <v>41.7</v>
      </c>
      <c r="J13" s="28">
        <v>30.7</v>
      </c>
      <c r="K13" s="28">
        <v>16.3</v>
      </c>
      <c r="L13" s="28">
        <v>12.8</v>
      </c>
    </row>
    <row r="14" spans="1:14" x14ac:dyDescent="0.25">
      <c r="A14" s="22">
        <v>7</v>
      </c>
      <c r="B14" s="22">
        <v>4.5999999999999996</v>
      </c>
      <c r="C14" s="22">
        <v>2.5</v>
      </c>
      <c r="D14" s="22">
        <v>9.6</v>
      </c>
      <c r="E14" s="22">
        <v>11.9</v>
      </c>
      <c r="F14" s="22">
        <v>27.7</v>
      </c>
      <c r="G14" s="22">
        <v>50.1</v>
      </c>
      <c r="H14" s="22">
        <v>42.8</v>
      </c>
      <c r="I14" s="28">
        <v>48</v>
      </c>
      <c r="J14" s="28">
        <v>120</v>
      </c>
      <c r="K14" s="28">
        <v>140.1</v>
      </c>
      <c r="L14" s="28">
        <v>68.599999999999994</v>
      </c>
    </row>
    <row r="15" spans="1:14" x14ac:dyDescent="0.25">
      <c r="B15" s="23"/>
    </row>
    <row r="22" spans="1:2" x14ac:dyDescent="0.25">
      <c r="A22" s="30" t="s">
        <v>80</v>
      </c>
      <c r="B22" s="31"/>
    </row>
    <row r="23" spans="1:2" x14ac:dyDescent="0.25">
      <c r="A23" s="17"/>
      <c r="B23" s="32" t="s">
        <v>81</v>
      </c>
    </row>
    <row r="24" spans="1:2" x14ac:dyDescent="0.25">
      <c r="A24" s="18"/>
      <c r="B24" s="32" t="s">
        <v>82</v>
      </c>
    </row>
    <row r="25" spans="1:2" x14ac:dyDescent="0.25">
      <c r="A25" s="19"/>
      <c r="B25" s="32" t="s">
        <v>83</v>
      </c>
    </row>
    <row r="40" spans="9:9" x14ac:dyDescent="0.25">
      <c r="I40" t="s">
        <v>79</v>
      </c>
    </row>
  </sheetData>
  <mergeCells count="1">
    <mergeCell ref="A22:B2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DD42-EF99-42F0-8489-CD89DCC05619}">
  <sheetPr codeName="Sheet3"/>
  <dimension ref="A1:N25"/>
  <sheetViews>
    <sheetView showGridLines="0" tabSelected="1" topLeftCell="A16" zoomScale="70" zoomScaleNormal="70" workbookViewId="0">
      <selection activeCell="P23" sqref="P23"/>
    </sheetView>
  </sheetViews>
  <sheetFormatPr defaultRowHeight="15" x14ac:dyDescent="0.25"/>
  <cols>
    <col min="1" max="1" width="21.140625" customWidth="1"/>
    <col min="2" max="2" width="27" customWidth="1"/>
  </cols>
  <sheetData>
    <row r="1" spans="1:14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s="3" t="s">
        <v>32</v>
      </c>
    </row>
    <row r="2" spans="1:14" x14ac:dyDescent="0.25">
      <c r="A2" s="10">
        <v>0.55175629468448861</v>
      </c>
      <c r="B2" s="10">
        <v>0.53403792353124024</v>
      </c>
      <c r="C2" s="10">
        <v>0.76966117500777109</v>
      </c>
      <c r="D2" s="10">
        <v>0.33416226297792972</v>
      </c>
      <c r="E2" s="10">
        <v>0.40379235312402856</v>
      </c>
      <c r="F2" s="10">
        <v>0.14765309294373638</v>
      </c>
      <c r="G2" s="10">
        <v>0.10195834628535901</v>
      </c>
      <c r="H2" s="10">
        <v>0.17531861983214173</v>
      </c>
      <c r="I2" s="10">
        <v>7.8644700031084855E-2</v>
      </c>
      <c r="J2" s="10">
        <v>3.5436742306496731E-2</v>
      </c>
      <c r="K2" s="10">
        <v>2.0516008703761263E-2</v>
      </c>
      <c r="L2" s="10">
        <v>1.2123096052222566E-2</v>
      </c>
      <c r="M2" s="11" t="s">
        <v>29</v>
      </c>
    </row>
    <row r="3" spans="1:14" x14ac:dyDescent="0.25">
      <c r="A3" s="10">
        <v>5.5641902393534337E-2</v>
      </c>
      <c r="B3" s="10">
        <v>5.1600870376126824E-2</v>
      </c>
      <c r="C3" s="10">
        <v>0.20049735778675781</v>
      </c>
      <c r="D3" s="10">
        <v>0.11718992850481814</v>
      </c>
      <c r="E3" s="10">
        <v>0.13708423997513208</v>
      </c>
      <c r="F3" s="10">
        <v>0.21572894000621695</v>
      </c>
      <c r="G3" s="10">
        <v>4.2275411874417149E-2</v>
      </c>
      <c r="H3" s="10">
        <v>3.2639104755983833E-2</v>
      </c>
      <c r="I3" s="10">
        <v>1.5542430836182777E-2</v>
      </c>
      <c r="J3" s="10">
        <v>1.5542430836182777E-3</v>
      </c>
      <c r="K3" s="10">
        <v>0</v>
      </c>
      <c r="L3" s="10">
        <v>0</v>
      </c>
      <c r="M3" s="11" t="s">
        <v>30</v>
      </c>
    </row>
    <row r="4" spans="1:14" ht="15.75" thickBot="1" x14ac:dyDescent="0.3">
      <c r="A4" s="10">
        <v>6.5899906745414974E-2</v>
      </c>
      <c r="B4" s="10">
        <v>3.8856077090456943E-2</v>
      </c>
      <c r="C4" s="10">
        <v>2.9841467205470932E-2</v>
      </c>
      <c r="D4" s="10">
        <v>2.8908921355299967E-2</v>
      </c>
      <c r="E4" s="10">
        <v>2.0826857320484921E-2</v>
      </c>
      <c r="F4" s="10">
        <v>1.5542430836182777E-2</v>
      </c>
      <c r="G4" s="10">
        <v>1.4299036369288153E-2</v>
      </c>
      <c r="H4" s="10">
        <v>3.1395710289089211E-2</v>
      </c>
      <c r="I4" s="10">
        <v>2.4246192104445133E-2</v>
      </c>
      <c r="J4" s="10">
        <v>4.0410320174075219E-2</v>
      </c>
      <c r="K4" s="10">
        <v>1.616412806963009E-2</v>
      </c>
      <c r="L4" s="10">
        <v>2.8287224121852653E-2</v>
      </c>
      <c r="M4" s="12" t="s">
        <v>31</v>
      </c>
    </row>
    <row r="6" spans="1:14" x14ac:dyDescent="0.25">
      <c r="A6" t="str">
        <f>_xlfn.CONCAT(A11,A1)</f>
        <v xml:space="preserve">                                                                         Apr'55</v>
      </c>
      <c r="B6" t="str">
        <f t="shared" ref="B6:L6" si="0">_xlfn.CONCAT(B11,B1)</f>
        <v xml:space="preserve">                                                                            May'55</v>
      </c>
      <c r="C6" t="str">
        <f t="shared" si="0"/>
        <v xml:space="preserve">                                                                                          Jun '55</v>
      </c>
      <c r="D6" t="str">
        <f t="shared" si="0"/>
        <v xml:space="preserve">                                                  Jul'55</v>
      </c>
      <c r="E6" t="str">
        <f t="shared" si="0"/>
        <v xml:space="preserve">                                                        Aug'55</v>
      </c>
      <c r="F6" t="str">
        <f t="shared" si="0"/>
        <v xml:space="preserve">                                   Sep'55</v>
      </c>
      <c r="G6" t="str">
        <f t="shared" si="0"/>
        <v xml:space="preserve">                              Oct'55</v>
      </c>
      <c r="H6" t="str">
        <f t="shared" si="0"/>
        <v xml:space="preserve">                                     Nov'55</v>
      </c>
      <c r="I6" t="str">
        <f t="shared" si="0"/>
        <v xml:space="preserve">                               Dec'55</v>
      </c>
      <c r="J6" t="str">
        <f t="shared" si="0"/>
        <v xml:space="preserve">                            Jan'56</v>
      </c>
      <c r="K6" t="str">
        <f t="shared" si="0"/>
        <v xml:space="preserve">                            Feb'56</v>
      </c>
      <c r="L6" t="str">
        <f t="shared" si="0"/>
        <v xml:space="preserve">                            Mar'56</v>
      </c>
    </row>
    <row r="7" spans="1:14" x14ac:dyDescent="0.25">
      <c r="A7" s="17">
        <f>A2</f>
        <v>0.55175629468448861</v>
      </c>
      <c r="B7" s="17">
        <f t="shared" ref="B7:L7" si="1">B2</f>
        <v>0.53403792353124024</v>
      </c>
      <c r="C7" s="17">
        <f t="shared" si="1"/>
        <v>0.76966117500777109</v>
      </c>
      <c r="D7" s="17">
        <f t="shared" si="1"/>
        <v>0.33416226297792972</v>
      </c>
      <c r="E7" s="17">
        <f t="shared" si="1"/>
        <v>0.40379235312402856</v>
      </c>
      <c r="F7" s="17">
        <f t="shared" si="1"/>
        <v>0.14765309294373638</v>
      </c>
      <c r="G7" s="17">
        <f t="shared" si="1"/>
        <v>0.10195834628535901</v>
      </c>
      <c r="H7" s="17">
        <f t="shared" si="1"/>
        <v>0.17531861983214173</v>
      </c>
      <c r="I7" s="17">
        <f t="shared" si="1"/>
        <v>7.8644700031084855E-2</v>
      </c>
      <c r="J7" s="17">
        <f t="shared" si="1"/>
        <v>3.5436742306496731E-2</v>
      </c>
      <c r="K7" s="17">
        <f t="shared" si="1"/>
        <v>2.0516008703761263E-2</v>
      </c>
      <c r="L7" s="17">
        <f t="shared" si="1"/>
        <v>1.2123096052222566E-2</v>
      </c>
      <c r="N7" s="20" t="s">
        <v>34</v>
      </c>
    </row>
    <row r="8" spans="1:14" x14ac:dyDescent="0.25">
      <c r="A8" s="18">
        <f t="shared" ref="A8:L9" si="2">A3+A7</f>
        <v>0.60739819707802289</v>
      </c>
      <c r="B8" s="18">
        <f t="shared" si="2"/>
        <v>0.58563879390736706</v>
      </c>
      <c r="C8" s="18">
        <f t="shared" si="2"/>
        <v>0.97015853279452891</v>
      </c>
      <c r="D8" s="18">
        <f t="shared" si="2"/>
        <v>0.45135219148274786</v>
      </c>
      <c r="E8" s="18">
        <f t="shared" si="2"/>
        <v>0.54087659309916059</v>
      </c>
      <c r="F8" s="18">
        <f t="shared" si="2"/>
        <v>0.3633820329499533</v>
      </c>
      <c r="G8" s="18">
        <f t="shared" si="2"/>
        <v>0.14423375815977615</v>
      </c>
      <c r="H8" s="18">
        <f t="shared" si="2"/>
        <v>0.20795772458812556</v>
      </c>
      <c r="I8" s="18">
        <f t="shared" si="2"/>
        <v>9.4187130867267627E-2</v>
      </c>
      <c r="J8" s="18">
        <f t="shared" si="2"/>
        <v>3.6990985390115007E-2</v>
      </c>
      <c r="K8" s="18">
        <f t="shared" si="2"/>
        <v>2.0516008703761263E-2</v>
      </c>
      <c r="L8" s="18">
        <f t="shared" si="2"/>
        <v>1.2123096052222566E-2</v>
      </c>
    </row>
    <row r="9" spans="1:14" x14ac:dyDescent="0.25">
      <c r="A9" s="19">
        <f t="shared" si="2"/>
        <v>0.67329810382343791</v>
      </c>
      <c r="B9" s="19">
        <f t="shared" si="2"/>
        <v>0.62449487099782397</v>
      </c>
      <c r="C9" s="19">
        <f t="shared" si="2"/>
        <v>0.99999999999999989</v>
      </c>
      <c r="D9" s="19">
        <f t="shared" si="2"/>
        <v>0.48026111283804784</v>
      </c>
      <c r="E9" s="19">
        <f t="shared" si="2"/>
        <v>0.56170345041964553</v>
      </c>
      <c r="F9" s="19">
        <f t="shared" si="2"/>
        <v>0.37892446378613609</v>
      </c>
      <c r="G9" s="19">
        <f t="shared" si="2"/>
        <v>0.1585327945290643</v>
      </c>
      <c r="H9" s="19">
        <f t="shared" si="2"/>
        <v>0.23935343487721478</v>
      </c>
      <c r="I9" s="19">
        <f t="shared" si="2"/>
        <v>0.11843332297171276</v>
      </c>
      <c r="J9" s="19">
        <f t="shared" si="2"/>
        <v>7.7401305564190226E-2</v>
      </c>
      <c r="K9" s="19">
        <f t="shared" si="2"/>
        <v>3.6680136773391353E-2</v>
      </c>
      <c r="L9" s="19">
        <f t="shared" si="2"/>
        <v>4.0410320174075219E-2</v>
      </c>
    </row>
    <row r="11" spans="1:14" x14ac:dyDescent="0.25">
      <c r="A11" s="23" t="s">
        <v>75</v>
      </c>
      <c r="B11" s="23" t="s">
        <v>37</v>
      </c>
      <c r="C11" s="23" t="s">
        <v>77</v>
      </c>
      <c r="D11" s="23" t="s">
        <v>78</v>
      </c>
      <c r="E11" s="23" t="s">
        <v>35</v>
      </c>
      <c r="F11" s="23" t="s">
        <v>76</v>
      </c>
      <c r="G11" s="23" t="s">
        <v>39</v>
      </c>
      <c r="H11" s="23" t="s">
        <v>56</v>
      </c>
      <c r="I11" s="23" t="s">
        <v>74</v>
      </c>
      <c r="J11" s="23" t="s">
        <v>61</v>
      </c>
      <c r="K11" s="23" t="s">
        <v>61</v>
      </c>
      <c r="L11" s="23" t="s">
        <v>61</v>
      </c>
    </row>
    <row r="12" spans="1:14" x14ac:dyDescent="0.25">
      <c r="A12" s="24" t="s">
        <v>38</v>
      </c>
      <c r="B12" s="24" t="s">
        <v>38</v>
      </c>
      <c r="C12" s="24" t="s">
        <v>40</v>
      </c>
      <c r="D12" s="24" t="s">
        <v>57</v>
      </c>
      <c r="E12" s="29" t="s">
        <v>36</v>
      </c>
      <c r="F12" s="29" t="s">
        <v>36</v>
      </c>
      <c r="G12" s="29" t="s">
        <v>56</v>
      </c>
      <c r="H12" s="24" t="s">
        <v>58</v>
      </c>
      <c r="I12" s="26" t="s">
        <v>59</v>
      </c>
      <c r="J12" s="26" t="s">
        <v>41</v>
      </c>
      <c r="K12" s="26" t="s">
        <v>55</v>
      </c>
      <c r="L12" s="26" t="s">
        <v>54</v>
      </c>
    </row>
    <row r="15" spans="1:14" ht="15" customHeight="1" x14ac:dyDescent="0.25"/>
    <row r="22" spans="1:2" x14ac:dyDescent="0.25">
      <c r="A22" s="30" t="s">
        <v>80</v>
      </c>
      <c r="B22" s="31"/>
    </row>
    <row r="23" spans="1:2" x14ac:dyDescent="0.25">
      <c r="A23" s="17"/>
      <c r="B23" s="32" t="s">
        <v>81</v>
      </c>
    </row>
    <row r="24" spans="1:2" x14ac:dyDescent="0.25">
      <c r="A24" s="18"/>
      <c r="B24" s="32" t="s">
        <v>82</v>
      </c>
    </row>
    <row r="25" spans="1:2" x14ac:dyDescent="0.25">
      <c r="A25" s="19"/>
      <c r="B25" s="32" t="s">
        <v>83</v>
      </c>
    </row>
  </sheetData>
  <mergeCells count="1">
    <mergeCell ref="A22:B2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 (2)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Dingliana</dc:creator>
  <cp:lastModifiedBy>Saumya Bhatnagar</cp:lastModifiedBy>
  <dcterms:created xsi:type="dcterms:W3CDTF">2018-02-03T08:49:30Z</dcterms:created>
  <dcterms:modified xsi:type="dcterms:W3CDTF">2018-02-18T15:36:12Z</dcterms:modified>
</cp:coreProperties>
</file>